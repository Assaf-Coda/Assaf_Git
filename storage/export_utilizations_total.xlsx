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saf.halevy/Downloads/"/>
    </mc:Choice>
  </mc:AlternateContent>
  <xr:revisionPtr revIDLastSave="0" documentId="13_ncr:1_{75014D48-FF09-4447-A36E-FA43A9CF3DED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export" sheetId="1" r:id="rId1"/>
  </sheets>
  <definedNames>
    <definedName name="_xlnm._FilterDatabase" localSheetId="0" hidden="1">export!$A$1:$K$1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3" i="1" l="1"/>
  <c r="N9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2" i="1"/>
</calcChain>
</file>

<file path=xl/sharedStrings.xml><?xml version="1.0" encoding="utf-8"?>
<sst xmlns="http://schemas.openxmlformats.org/spreadsheetml/2006/main" count="741" uniqueCount="650">
  <si>
    <t>Start Time</t>
  </si>
  <si>
    <t>End Time</t>
  </si>
  <si>
    <t>Active Storage (TB)</t>
  </si>
  <si>
    <t>Deleted Storage (TB)</t>
  </si>
  <si>
    <t>Storage Wrote (TB)</t>
  </si>
  <si>
    <t>Storage Read (TB)</t>
  </si>
  <si>
    <t>Active Objects</t>
  </si>
  <si>
    <t>Deleted Objects</t>
  </si>
  <si>
    <t>Egress (GB)</t>
  </si>
  <si>
    <t>Ingress (GB)</t>
  </si>
  <si>
    <t>API Calls</t>
  </si>
  <si>
    <t>2025-06-19 00:00</t>
  </si>
  <si>
    <t>2025-06-20 00:00</t>
  </si>
  <si>
    <t>574.895197785</t>
  </si>
  <si>
    <t>0.258341778</t>
  </si>
  <si>
    <t>2.795926940</t>
  </si>
  <si>
    <t>0.000157459</t>
  </si>
  <si>
    <t>0.361575474</t>
  </si>
  <si>
    <t>2863.323344822</t>
  </si>
  <si>
    <t>2025-06-18 00:00</t>
  </si>
  <si>
    <t>573.769276444</t>
  </si>
  <si>
    <t>0.249981480</t>
  </si>
  <si>
    <t>2.720946075</t>
  </si>
  <si>
    <t>0.000063133</t>
  </si>
  <si>
    <t>0.272337653</t>
  </si>
  <si>
    <t>2786.553472142</t>
  </si>
  <si>
    <t>2025-06-17 00:00</t>
  </si>
  <si>
    <t>572.806213802</t>
  </si>
  <si>
    <t>0.230938088</t>
  </si>
  <si>
    <t>2.521076730</t>
  </si>
  <si>
    <t>0.000398157</t>
  </si>
  <si>
    <t>0.603497102</t>
  </si>
  <si>
    <t>2581.874472734</t>
  </si>
  <si>
    <t>2025-06-16 00:00</t>
  </si>
  <si>
    <t>572.009739861</t>
  </si>
  <si>
    <t>0.215713489</t>
  </si>
  <si>
    <t>3.130226057</t>
  </si>
  <si>
    <t>0.000145648</t>
  </si>
  <si>
    <t>0.418902879</t>
  </si>
  <si>
    <t>3205.745182013</t>
  </si>
  <si>
    <t>2025-06-15 00:00</t>
  </si>
  <si>
    <t>571.254028621</t>
  </si>
  <si>
    <t>0.202225365</t>
  </si>
  <si>
    <t>3.815433969</t>
  </si>
  <si>
    <t>0.000073581</t>
  </si>
  <si>
    <t>0.377292272</t>
  </si>
  <si>
    <t>3907.447538308</t>
  </si>
  <si>
    <t>2025-06-14 00:00</t>
  </si>
  <si>
    <t>570.521293567</t>
  </si>
  <si>
    <t>0.191104258</t>
  </si>
  <si>
    <t>2.592894454</t>
  </si>
  <si>
    <t>0.000081122</t>
  </si>
  <si>
    <t>0.273938794</t>
  </si>
  <si>
    <t>2655.403417596</t>
  </si>
  <si>
    <t>2025-06-13 00:00</t>
  </si>
  <si>
    <t>569.686738606</t>
  </si>
  <si>
    <t>0.177209181</t>
  </si>
  <si>
    <t>2.538315386</t>
  </si>
  <si>
    <t>0.000000588</t>
  </si>
  <si>
    <t>0.175314011</t>
  </si>
  <si>
    <t>2599.491721337</t>
  </si>
  <si>
    <t>2025-06-12 00:00</t>
  </si>
  <si>
    <t>568.072654032</t>
  </si>
  <si>
    <t>0.163781347</t>
  </si>
  <si>
    <t>2.523845232</t>
  </si>
  <si>
    <t>0.001852967</t>
  </si>
  <si>
    <t>2.084877651</t>
  </si>
  <si>
    <t>2584.690097390</t>
  </si>
  <si>
    <t>2025-06-11 00:00</t>
  </si>
  <si>
    <t>566.663139645</t>
  </si>
  <si>
    <t>0.149486537</t>
  </si>
  <si>
    <t>2.447102917</t>
  </si>
  <si>
    <t>0.002736563</t>
  </si>
  <si>
    <t>2.996441246</t>
  </si>
  <si>
    <t>2506.109987759</t>
  </si>
  <si>
    <t>2025-06-10 00:00</t>
  </si>
  <si>
    <t>565.360489029</t>
  </si>
  <si>
    <t>0.136614818</t>
  </si>
  <si>
    <t>2.036150791</t>
  </si>
  <si>
    <t>0.003283980</t>
  </si>
  <si>
    <t>3.529201884</t>
  </si>
  <si>
    <t>2085.262019314</t>
  </si>
  <si>
    <t>2025-06-09 00:00</t>
  </si>
  <si>
    <t>564.470082794</t>
  </si>
  <si>
    <t>0.122186150</t>
  </si>
  <si>
    <t>3.159098599</t>
  </si>
  <si>
    <t>0.004201639</t>
  </si>
  <si>
    <t>4.580119668</t>
  </si>
  <si>
    <t>3235.317317445</t>
  </si>
  <si>
    <t>2025-06-08 00:00</t>
  </si>
  <si>
    <t>563.645147270</t>
  </si>
  <si>
    <t>0.108085811</t>
  </si>
  <si>
    <t>3.344908560</t>
  </si>
  <si>
    <t>0.000314331</t>
  </si>
  <si>
    <t>0.566990924</t>
  </si>
  <si>
    <t>3425.544622546</t>
  </si>
  <si>
    <t>2025-06-07 00:00</t>
  </si>
  <si>
    <t>562.458615896</t>
  </si>
  <si>
    <t>0.094600071</t>
  </si>
  <si>
    <t>2.132618863</t>
  </si>
  <si>
    <t>0.000140469</t>
  </si>
  <si>
    <t>0.304412348</t>
  </si>
  <si>
    <t>2184.036836334</t>
  </si>
  <si>
    <t>2025-06-06 00:00</t>
  </si>
  <si>
    <t>562.039527443</t>
  </si>
  <si>
    <t>0.080076190</t>
  </si>
  <si>
    <t>2.635991013</t>
  </si>
  <si>
    <t>0.002220297</t>
  </si>
  <si>
    <t>2.474033104</t>
  </si>
  <si>
    <t>2699.546756883</t>
  </si>
  <si>
    <t>2025-06-05 00:00</t>
  </si>
  <si>
    <t>560.851211201</t>
  </si>
  <si>
    <t>0.057117377</t>
  </si>
  <si>
    <t>2.491914117</t>
  </si>
  <si>
    <t>0.008821004</t>
  </si>
  <si>
    <t>9.232769327</t>
  </si>
  <si>
    <t>2552.008334441</t>
  </si>
  <si>
    <t>2025-06-04 00:00</t>
  </si>
  <si>
    <t>559.911601642</t>
  </si>
  <si>
    <t>0.040763827</t>
  </si>
  <si>
    <t>2.374360407</t>
  </si>
  <si>
    <t>0.000326373</t>
  </si>
  <si>
    <t>0.512336951</t>
  </si>
  <si>
    <t>2431.606083392</t>
  </si>
  <si>
    <t>2025-06-03 00:00</t>
  </si>
  <si>
    <t>558.490659567</t>
  </si>
  <si>
    <t>0.038509711</t>
  </si>
  <si>
    <t>2.206016473</t>
  </si>
  <si>
    <t>0.001097619</t>
  </si>
  <si>
    <t>1.296446891</t>
  </si>
  <si>
    <t>2259.210592828</t>
  </si>
  <si>
    <t>2025-06-02 00:00</t>
  </si>
  <si>
    <t>557.414272835</t>
  </si>
  <si>
    <t>0.037285294</t>
  </si>
  <si>
    <t>2.831011308</t>
  </si>
  <si>
    <t>0.000160796</t>
  </si>
  <si>
    <t>0.379819731</t>
  </si>
  <si>
    <t>2899.271037282</t>
  </si>
  <si>
    <t>2025-06-01 00:00</t>
  </si>
  <si>
    <t>555.921243913</t>
  </si>
  <si>
    <t>0.038400152</t>
  </si>
  <si>
    <t>3.367709369</t>
  </si>
  <si>
    <t>0.000118600</t>
  </si>
  <si>
    <t>0.327283809</t>
  </si>
  <si>
    <t>3448.838500269</t>
  </si>
  <si>
    <t>2025-05-31 00:00</t>
  </si>
  <si>
    <t>553.858371420</t>
  </si>
  <si>
    <t>0.038002187</t>
  </si>
  <si>
    <t>2.410574731</t>
  </si>
  <si>
    <t>0</t>
  </si>
  <si>
    <t>0.140070638</t>
  </si>
  <si>
    <t>2468.636781323</t>
  </si>
  <si>
    <t>2025-05-30 00:00</t>
  </si>
  <si>
    <t>551.773192694</t>
  </si>
  <si>
    <t>0.037992156</t>
  </si>
  <si>
    <t>2.421648126</t>
  </si>
  <si>
    <t>0.005797040</t>
  </si>
  <si>
    <t>6.146541050</t>
  </si>
  <si>
    <t>2480.065360835</t>
  </si>
  <si>
    <t>2025-05-29 00:00</t>
  </si>
  <si>
    <t>550.867601117</t>
  </si>
  <si>
    <t>0.037944561</t>
  </si>
  <si>
    <t>2.568657041</t>
  </si>
  <si>
    <t>0.000028664</t>
  </si>
  <si>
    <t>0.224888527</t>
  </si>
  <si>
    <t>2630.592923021</t>
  </si>
  <si>
    <t>2025-05-28 00:00</t>
  </si>
  <si>
    <t>549.674699853</t>
  </si>
  <si>
    <t>0.038018388</t>
  </si>
  <si>
    <t>2.393776717</t>
  </si>
  <si>
    <t>0.001166152</t>
  </si>
  <si>
    <t>1.387852030</t>
  </si>
  <si>
    <t>2451.509807365</t>
  </si>
  <si>
    <t>2025-05-27 00:00</t>
  </si>
  <si>
    <t>548.613510970</t>
  </si>
  <si>
    <t>0.038169109</t>
  </si>
  <si>
    <t>2.489942026</t>
  </si>
  <si>
    <t>0.003581986</t>
  </si>
  <si>
    <t>3.890438587</t>
  </si>
  <si>
    <t>2550.022611198</t>
  </si>
  <si>
    <t>2025-05-26 00:00</t>
  </si>
  <si>
    <t>547.809511783</t>
  </si>
  <si>
    <t>0.038140693</t>
  </si>
  <si>
    <t>3.700130693</t>
  </si>
  <si>
    <t>0.001795146</t>
  </si>
  <si>
    <t>2.131743366</t>
  </si>
  <si>
    <t>3789.360519722</t>
  </si>
  <si>
    <t>2025-05-25 00:00</t>
  </si>
  <si>
    <t>546.612479500</t>
  </si>
  <si>
    <t>0.037559509</t>
  </si>
  <si>
    <t>2.884503380</t>
  </si>
  <si>
    <t>0.000506937</t>
  </si>
  <si>
    <t>0.715544588</t>
  </si>
  <si>
    <t>2954.020087806</t>
  </si>
  <si>
    <t>2025-05-24 00:00</t>
  </si>
  <si>
    <t>545.107021810</t>
  </si>
  <si>
    <t>0.038068615</t>
  </si>
  <si>
    <t>2.600439708</t>
  </si>
  <si>
    <t>0.000138149</t>
  </si>
  <si>
    <t>0.309195257</t>
  </si>
  <si>
    <t>2663.098323782</t>
  </si>
  <si>
    <t>2025-05-23 00:00</t>
  </si>
  <si>
    <t>543.494311227</t>
  </si>
  <si>
    <t>0.038072864</t>
  </si>
  <si>
    <t>2.747670487</t>
  </si>
  <si>
    <t>0.002671474</t>
  </si>
  <si>
    <t>2.947283280</t>
  </si>
  <si>
    <t>2813.922305312</t>
  </si>
  <si>
    <t>2025-05-22 00:00</t>
  </si>
  <si>
    <t>542.050681771</t>
  </si>
  <si>
    <t>0.037689932</t>
  </si>
  <si>
    <t>1.767119696</t>
  </si>
  <si>
    <t>0.001273594</t>
  </si>
  <si>
    <t>1.451432152</t>
  </si>
  <si>
    <t>1809.744852814</t>
  </si>
  <si>
    <t>2025-05-21 00:00</t>
  </si>
  <si>
    <t>541.144922005</t>
  </si>
  <si>
    <t>0.037886804</t>
  </si>
  <si>
    <t>2.804814929</t>
  </si>
  <si>
    <t>0.017877357</t>
  </si>
  <si>
    <t>18.541911395</t>
  </si>
  <si>
    <t>2872.448818829</t>
  </si>
  <si>
    <t>2025-05-20 00:00</t>
  </si>
  <si>
    <t>537.995531358</t>
  </si>
  <si>
    <t>0.037602092</t>
  </si>
  <si>
    <t>3.139022687</t>
  </si>
  <si>
    <t>0.016682560</t>
  </si>
  <si>
    <t>17.313069682</t>
  </si>
  <si>
    <t>3214.670698963</t>
  </si>
  <si>
    <t>2025-05-19 00:00</t>
  </si>
  <si>
    <t>533.571423157</t>
  </si>
  <si>
    <t>0.037830478</t>
  </si>
  <si>
    <t>4.085327973</t>
  </si>
  <si>
    <t>0.025377019</t>
  </si>
  <si>
    <t>26.356618341</t>
  </si>
  <si>
    <t>4183.881609973</t>
  </si>
  <si>
    <t>2025-05-18 00:00</t>
  </si>
  <si>
    <t>529.896352241</t>
  </si>
  <si>
    <t>0.038027435</t>
  </si>
  <si>
    <t>5.005218598</t>
  </si>
  <si>
    <t>0.006331954</t>
  </si>
  <si>
    <t>6.849791340</t>
  </si>
  <si>
    <t>5125.867444806</t>
  </si>
  <si>
    <t>2025-05-17 00:00</t>
  </si>
  <si>
    <t>527.969301311</t>
  </si>
  <si>
    <t>0.037787518</t>
  </si>
  <si>
    <t>3.303474478</t>
  </si>
  <si>
    <t>0.240253916</t>
  </si>
  <si>
    <t>3383.147127153</t>
  </si>
  <si>
    <t>2025-05-16 00:00</t>
  </si>
  <si>
    <t>526.429541629</t>
  </si>
  <si>
    <t>0.036578633</t>
  </si>
  <si>
    <t>2.602100324</t>
  </si>
  <si>
    <t>0.010973547</t>
  </si>
  <si>
    <t>11.473536767</t>
  </si>
  <si>
    <t>2664.881238356</t>
  </si>
  <si>
    <t>2025-05-15 00:00</t>
  </si>
  <si>
    <t>525.593660424</t>
  </si>
  <si>
    <t>0.037042717</t>
  </si>
  <si>
    <t>2.751527450</t>
  </si>
  <si>
    <t>0.028863119</t>
  </si>
  <si>
    <t>29.860609061</t>
  </si>
  <si>
    <t>2817.968113892</t>
  </si>
  <si>
    <t>2025-05-14 00:00</t>
  </si>
  <si>
    <t>524.979783680</t>
  </si>
  <si>
    <t>0.037284070</t>
  </si>
  <si>
    <t>3.253732966</t>
  </si>
  <si>
    <t>0.025702382</t>
  </si>
  <si>
    <t>26.630027076</t>
  </si>
  <si>
    <t>3332.243206732</t>
  </si>
  <si>
    <t>2025-05-13 00:00</t>
  </si>
  <si>
    <t>523.432670365</t>
  </si>
  <si>
    <t>0.037406239</t>
  </si>
  <si>
    <t>3.124117939</t>
  </si>
  <si>
    <t>0.015928189</t>
  </si>
  <si>
    <t>16.613653608</t>
  </si>
  <si>
    <t>3199.516598599</t>
  </si>
  <si>
    <t>2025-05-12 00:00</t>
  </si>
  <si>
    <t>522.101087679</t>
  </si>
  <si>
    <t>0.037460977</t>
  </si>
  <si>
    <t>4.050426758</t>
  </si>
  <si>
    <t>0.003922923</t>
  </si>
  <si>
    <t>4.381999535</t>
  </si>
  <si>
    <t>4148.158136552</t>
  </si>
  <si>
    <t>2025-05-11 00:00</t>
  </si>
  <si>
    <t>520.761718668</t>
  </si>
  <si>
    <t>0.037325130</t>
  </si>
  <si>
    <t>4.226191146</t>
  </si>
  <si>
    <t>0.001867606</t>
  </si>
  <si>
    <t>2.256818671</t>
  </si>
  <si>
    <t>4328.203567781</t>
  </si>
  <si>
    <t>2025-05-10 00:00</t>
  </si>
  <si>
    <t>519.598902242</t>
  </si>
  <si>
    <t>0.037094619</t>
  </si>
  <si>
    <t>4.072321551</t>
  </si>
  <si>
    <t>0.001343860</t>
  </si>
  <si>
    <t>1.635378789</t>
  </si>
  <si>
    <t>4170.436960875</t>
  </si>
  <si>
    <t>2025-05-09 00:00</t>
  </si>
  <si>
    <t>517.078475363</t>
  </si>
  <si>
    <t>0.037259752</t>
  </si>
  <si>
    <t>2.880873803</t>
  </si>
  <si>
    <t>0.011501577</t>
  </si>
  <si>
    <t>12.036853212</t>
  </si>
  <si>
    <t>2950.379728605</t>
  </si>
  <si>
    <t>2025-05-08 00:00</t>
  </si>
  <si>
    <t>515.735987399</t>
  </si>
  <si>
    <t>0.037371355</t>
  </si>
  <si>
    <t>2.838816763</t>
  </si>
  <si>
    <t>0.007330551</t>
  </si>
  <si>
    <t>7.765845908</t>
  </si>
  <si>
    <t>2907.308326261</t>
  </si>
  <si>
    <t>2025-05-07 00:00</t>
  </si>
  <si>
    <t>514.932110305</t>
  </si>
  <si>
    <t>0.037272116</t>
  </si>
  <si>
    <t>2.886985375</t>
  </si>
  <si>
    <t>0.014110074</t>
  </si>
  <si>
    <t>14.871942250</t>
  </si>
  <si>
    <t>2956.903738605</t>
  </si>
  <si>
    <t>2025-05-06 00:00</t>
  </si>
  <si>
    <t>513.827139207</t>
  </si>
  <si>
    <t>0.036707815</t>
  </si>
  <si>
    <t>2.109662467</t>
  </si>
  <si>
    <t>0.000585035</t>
  </si>
  <si>
    <t>0.761628926</t>
  </si>
  <si>
    <t>2160.544324322</t>
  </si>
  <si>
    <t>2025-05-05 00:00</t>
  </si>
  <si>
    <t>512.646980843</t>
  </si>
  <si>
    <t>0.037111109</t>
  </si>
  <si>
    <t>3.027186066</t>
  </si>
  <si>
    <t>0.026180676</t>
  </si>
  <si>
    <t>27.189683015</t>
  </si>
  <si>
    <t>3100.340630867</t>
  </si>
  <si>
    <t>2025-05-04 00:00</t>
  </si>
  <si>
    <t>512.196321989</t>
  </si>
  <si>
    <t>0.037011273</t>
  </si>
  <si>
    <t>3.536751263</t>
  </si>
  <si>
    <t>0.003932718</t>
  </si>
  <si>
    <t>4.333204661</t>
  </si>
  <si>
    <t>3622.112808026</t>
  </si>
  <si>
    <t>2025-05-03 00:00</t>
  </si>
  <si>
    <t>511.813552652</t>
  </si>
  <si>
    <t>0.037170423</t>
  </si>
  <si>
    <t>2.519854007</t>
  </si>
  <si>
    <t>0.007872642</t>
  </si>
  <si>
    <t>8.266250788</t>
  </si>
  <si>
    <t>2580.622447104</t>
  </si>
  <si>
    <t>2025-05-02 00:00</t>
  </si>
  <si>
    <t>510.964726808</t>
  </si>
  <si>
    <t>0.037176952</t>
  </si>
  <si>
    <t>2.766456598</t>
  </si>
  <si>
    <t>0.024990181</t>
  </si>
  <si>
    <t>25.882687298</t>
  </si>
  <si>
    <t>2833.245977080</t>
  </si>
  <si>
    <t>2025-05-01 00:00</t>
  </si>
  <si>
    <t>510.438797957</t>
  </si>
  <si>
    <t>0.037112061</t>
  </si>
  <si>
    <t>2.844207520</t>
  </si>
  <si>
    <t>0.009515289</t>
  </si>
  <si>
    <t>9.990577208</t>
  </si>
  <si>
    <t>2912.880062846</t>
  </si>
  <si>
    <t>2025-04-30 00:00</t>
  </si>
  <si>
    <t>509.622948425</t>
  </si>
  <si>
    <t>0.036901086</t>
  </si>
  <si>
    <t>2.765883384</t>
  </si>
  <si>
    <t>0.005717436</t>
  </si>
  <si>
    <t>6.089987959</t>
  </si>
  <si>
    <t>2832.597582646</t>
  </si>
  <si>
    <t>2025-04-29 00:00</t>
  </si>
  <si>
    <t>508.843801021</t>
  </si>
  <si>
    <t>0.037019185</t>
  </si>
  <si>
    <t>3.330558204</t>
  </si>
  <si>
    <t>0.013215162</t>
  </si>
  <si>
    <t>13.823486952</t>
  </si>
  <si>
    <t>3411.013745687</t>
  </si>
  <si>
    <t>2025-04-28 00:00</t>
  </si>
  <si>
    <t>507.935089255</t>
  </si>
  <si>
    <t>0.036892307</t>
  </si>
  <si>
    <t>3.519256861</t>
  </si>
  <si>
    <t>0.001065766</t>
  </si>
  <si>
    <t>1.401318639</t>
  </si>
  <si>
    <t>3604.169382887</t>
  </si>
  <si>
    <t>2025-04-27 00:00</t>
  </si>
  <si>
    <t>507.239775313</t>
  </si>
  <si>
    <t>0.037195343</t>
  </si>
  <si>
    <t>4.024896511</t>
  </si>
  <si>
    <t>0.005919435</t>
  </si>
  <si>
    <t>6.397161430</t>
  </si>
  <si>
    <t>4121.968296290</t>
  </si>
  <si>
    <t>2025-04-26 00:00</t>
  </si>
  <si>
    <t>505.604728369</t>
  </si>
  <si>
    <t>0.036734589</t>
  </si>
  <si>
    <t>2.482412339</t>
  </si>
  <si>
    <t>0.014873514</t>
  </si>
  <si>
    <t>15.508877968</t>
  </si>
  <si>
    <t>2542.363419624</t>
  </si>
  <si>
    <t>2025-04-25 00:00</t>
  </si>
  <si>
    <t>504.868321540</t>
  </si>
  <si>
    <t>0.037200731</t>
  </si>
  <si>
    <t>2.918075028</t>
  </si>
  <si>
    <t>0.004619208</t>
  </si>
  <si>
    <t>5.012991534</t>
  </si>
  <si>
    <t>2988.511165210</t>
  </si>
  <si>
    <t>2025-04-24 00:00</t>
  </si>
  <si>
    <t>504.406360131</t>
  </si>
  <si>
    <t>0.037114411</t>
  </si>
  <si>
    <t>3.159317922</t>
  </si>
  <si>
    <t>0.012818872</t>
  </si>
  <si>
    <t>13.454935093</t>
  </si>
  <si>
    <t>3235.599292145</t>
  </si>
  <si>
    <t>2025-04-23 00:00</t>
  </si>
  <si>
    <t>503.863708121</t>
  </si>
  <si>
    <t>0.037201249</t>
  </si>
  <si>
    <t>3.046258894</t>
  </si>
  <si>
    <t>0.013785089</t>
  </si>
  <si>
    <t>14.419562689</t>
  </si>
  <si>
    <t>3119.821953862</t>
  </si>
  <si>
    <t>2025-04-22 00:00</t>
  </si>
  <si>
    <t>503.256477301</t>
  </si>
  <si>
    <t>0.036498403</t>
  </si>
  <si>
    <t>3.196910581</t>
  </si>
  <si>
    <t>0.006755387</t>
  </si>
  <si>
    <t>7.210115360</t>
  </si>
  <si>
    <t>3274.079727469</t>
  </si>
  <si>
    <t>2025-04-21 00:00</t>
  </si>
  <si>
    <t>502.949204400</t>
  </si>
  <si>
    <t>0.036603960</t>
  </si>
  <si>
    <t>4.046514101</t>
  </si>
  <si>
    <t>0.011679565</t>
  </si>
  <si>
    <t>12.315680987</t>
  </si>
  <si>
    <t>4144.163199455</t>
  </si>
  <si>
    <t>2025-04-20 00:00</t>
  </si>
  <si>
    <t>500.853878322</t>
  </si>
  <si>
    <t>0.036950861</t>
  </si>
  <si>
    <t>3.591728936</t>
  </si>
  <si>
    <t>0.001070537</t>
  </si>
  <si>
    <t>1.345795159</t>
  </si>
  <si>
    <t>3678.300518852</t>
  </si>
  <si>
    <t>2025-04-19 00:00</t>
  </si>
  <si>
    <t>497.881930770</t>
  </si>
  <si>
    <t>0.037327352</t>
  </si>
  <si>
    <t>3.537151432</t>
  </si>
  <si>
    <t>0.006321018</t>
  </si>
  <si>
    <t>6.793675279</t>
  </si>
  <si>
    <t>3622.497982951</t>
  </si>
  <si>
    <t>2025-04-18 00:00</t>
  </si>
  <si>
    <t>496.606968408</t>
  </si>
  <si>
    <t>0.037425693</t>
  </si>
  <si>
    <t>3.321637325</t>
  </si>
  <si>
    <t>0.009512193</t>
  </si>
  <si>
    <t>10.056758373</t>
  </si>
  <si>
    <t>3401.802136872</t>
  </si>
  <si>
    <t>2025-04-17 00:00</t>
  </si>
  <si>
    <t>496.373159192</t>
  </si>
  <si>
    <t>0.037433950</t>
  </si>
  <si>
    <t>2.534985785</t>
  </si>
  <si>
    <t>0.036247738</t>
  </si>
  <si>
    <t>37.482869287</t>
  </si>
  <si>
    <t>2596.281201090</t>
  </si>
  <si>
    <t>2025-04-16 00:00</t>
  </si>
  <si>
    <t>495.930657602</t>
  </si>
  <si>
    <t>0.037423699</t>
  </si>
  <si>
    <t>3.556469532</t>
  </si>
  <si>
    <t>0.025219364</t>
  </si>
  <si>
    <t>26.178849350</t>
  </si>
  <si>
    <t>3642.307368996</t>
  </si>
  <si>
    <t>2025-04-15 00:00</t>
  </si>
  <si>
    <t>495.001960045</t>
  </si>
  <si>
    <t>0.037199630</t>
  </si>
  <si>
    <t>3.359060452</t>
  </si>
  <si>
    <t>0.004791399</t>
  </si>
  <si>
    <t>5.215319727</t>
  </si>
  <si>
    <t>3440.116460222</t>
  </si>
  <si>
    <t>2025-04-14 00:00</t>
  </si>
  <si>
    <t>494.375655036</t>
  </si>
  <si>
    <t>0.037137547</t>
  </si>
  <si>
    <t>3.655439819</t>
  </si>
  <si>
    <t>0.005957951</t>
  </si>
  <si>
    <t>6.487877607</t>
  </si>
  <si>
    <t>3743.715798859</t>
  </si>
  <si>
    <t>2025-04-13 00:00</t>
  </si>
  <si>
    <t>494.177943501</t>
  </si>
  <si>
    <t>0.037447587</t>
  </si>
  <si>
    <t>4.321101547</t>
  </si>
  <si>
    <t>0.008174163</t>
  </si>
  <si>
    <t>8.781873868</t>
  </si>
  <si>
    <t>4425.397655042</t>
  </si>
  <si>
    <t>2025-04-12 00:00</t>
  </si>
  <si>
    <t>493.738911612</t>
  </si>
  <si>
    <t>0.037492364</t>
  </si>
  <si>
    <t>2.960182267</t>
  </si>
  <si>
    <t>0.002817689</t>
  </si>
  <si>
    <t>3.152858070</t>
  </si>
  <si>
    <t>3031.611046838</t>
  </si>
  <si>
    <t>2025-04-11 00:00</t>
  </si>
  <si>
    <t>493.319858011</t>
  </si>
  <si>
    <t>0.037448313</t>
  </si>
  <si>
    <t>2.620477464</t>
  </si>
  <si>
    <t>0.009766820</t>
  </si>
  <si>
    <t>10.268493455</t>
  </si>
  <si>
    <t>2683.905878431</t>
  </si>
  <si>
    <t>2025-04-10 00:00</t>
  </si>
  <si>
    <t>493.109640059</t>
  </si>
  <si>
    <t>0.037142157</t>
  </si>
  <si>
    <t>2.903072668</t>
  </si>
  <si>
    <t>0.004537950</t>
  </si>
  <si>
    <t>4.910236917</t>
  </si>
  <si>
    <t>2973.125748659</t>
  </si>
  <si>
    <t>2025-04-09 00:00</t>
  </si>
  <si>
    <t>492.975311041</t>
  </si>
  <si>
    <t>0.037300588</t>
  </si>
  <si>
    <t>2.565300658</t>
  </si>
  <si>
    <t>0.007378706</t>
  </si>
  <si>
    <t>7.799294095</t>
  </si>
  <si>
    <t>2627.209023611</t>
  </si>
  <si>
    <t>2025-04-08 00:00</t>
  </si>
  <si>
    <t>492.708915447</t>
  </si>
  <si>
    <t>0.037602118</t>
  </si>
  <si>
    <t>3.368610410</t>
  </si>
  <si>
    <t>0.011682368</t>
  </si>
  <si>
    <t>12.259863420</t>
  </si>
  <si>
    <t>3449.882034707</t>
  </si>
  <si>
    <t>2025-04-07 00:00</t>
  </si>
  <si>
    <t>491.767232351</t>
  </si>
  <si>
    <t>0.037476115</t>
  </si>
  <si>
    <t>3.106604516</t>
  </si>
  <si>
    <t>0.002914779</t>
  </si>
  <si>
    <t>3.288439273</t>
  </si>
  <si>
    <t>3181.629166038</t>
  </si>
  <si>
    <t>2025-04-06 00:00</t>
  </si>
  <si>
    <t>491.667320683</t>
  </si>
  <si>
    <t>0.037492723</t>
  </si>
  <si>
    <t>3.703161857</t>
  </si>
  <si>
    <t>0.001746987</t>
  </si>
  <si>
    <t>2.134727771</t>
  </si>
  <si>
    <t>3792.630747161</t>
  </si>
  <si>
    <t>2025-04-05 00:00</t>
  </si>
  <si>
    <t>491.205530369</t>
  </si>
  <si>
    <t>0.037399600</t>
  </si>
  <si>
    <t>3.219512928</t>
  </si>
  <si>
    <t>0.010754727</t>
  </si>
  <si>
    <t>11.362345797</t>
  </si>
  <si>
    <t>3297.258147574</t>
  </si>
  <si>
    <t>2025-04-04 00:00</t>
  </si>
  <si>
    <t>490.921093594</t>
  </si>
  <si>
    <t>0.037424476</t>
  </si>
  <si>
    <t>2.645747325</t>
  </si>
  <si>
    <t>0.000076178</t>
  </si>
  <si>
    <t>0.308258702</t>
  </si>
  <si>
    <t>2709.583902243</t>
  </si>
  <si>
    <t>2025-04-03 00:00</t>
  </si>
  <si>
    <t>490.662582667</t>
  </si>
  <si>
    <t>0.037215777</t>
  </si>
  <si>
    <t>2.781111455</t>
  </si>
  <si>
    <t>0.016928539</t>
  </si>
  <si>
    <t>17.692604132</t>
  </si>
  <si>
    <t>2848.331966648</t>
  </si>
  <si>
    <t>2025-04-02 00:00</t>
  </si>
  <si>
    <t>490.100534154</t>
  </si>
  <si>
    <t>0.037315887</t>
  </si>
  <si>
    <t>2.514113694</t>
  </si>
  <si>
    <t>0.006447165</t>
  </si>
  <si>
    <t>6.835579439</t>
  </si>
  <si>
    <t>2574.790124191</t>
  </si>
  <si>
    <t>2025-04-01 00:00</t>
  </si>
  <si>
    <t>489.796248980</t>
  </si>
  <si>
    <t>0.036983496</t>
  </si>
  <si>
    <t>2.943821366</t>
  </si>
  <si>
    <t>0.007319081</t>
  </si>
  <si>
    <t>7.776709266</t>
  </si>
  <si>
    <t>3014.882004388</t>
  </si>
  <si>
    <t>2025-03-31 00:00</t>
  </si>
  <si>
    <t>489.063881947</t>
  </si>
  <si>
    <t>0.037127559</t>
  </si>
  <si>
    <t>3.420899193</t>
  </si>
  <si>
    <t>0.004461925</t>
  </si>
  <si>
    <t>4.906359297</t>
  </si>
  <si>
    <t>3503.488509559</t>
  </si>
  <si>
    <t>2025-03-30 00:00</t>
  </si>
  <si>
    <t>488.753670508</t>
  </si>
  <si>
    <t>0.036945095</t>
  </si>
  <si>
    <t>2.908586235</t>
  </si>
  <si>
    <t>0.001754225</t>
  </si>
  <si>
    <t>2.058992141</t>
  </si>
  <si>
    <t>2978.776505249</t>
  </si>
  <si>
    <t>2025-03-29 00:00</t>
  </si>
  <si>
    <t>488.751830500</t>
  </si>
  <si>
    <t>0.037264113</t>
  </si>
  <si>
    <t>2.715360836</t>
  </si>
  <si>
    <t>0.001107563</t>
  </si>
  <si>
    <t>1.362505719</t>
  </si>
  <si>
    <t>2780.866191015</t>
  </si>
  <si>
    <t>2025-03-28 00:00</t>
  </si>
  <si>
    <t>488.491801193</t>
  </si>
  <si>
    <t>0.037387786</t>
  </si>
  <si>
    <t>3.118454908</t>
  </si>
  <si>
    <t>0.005461452</t>
  </si>
  <si>
    <t>5.904950250</t>
  </si>
  <si>
    <t>3193.748264905</t>
  </si>
  <si>
    <t>2025-03-27 00:00</t>
  </si>
  <si>
    <t>488.258496706</t>
  </si>
  <si>
    <t>0.037428755</t>
  </si>
  <si>
    <t>3.053281688</t>
  </si>
  <si>
    <t>0.002532198</t>
  </si>
  <si>
    <t>2.871640578</t>
  </si>
  <si>
    <t>3126.966766585</t>
  </si>
  <si>
    <t>2025-03-26 00:00</t>
  </si>
  <si>
    <t>487.673789897</t>
  </si>
  <si>
    <t>0.037159660</t>
  </si>
  <si>
    <t>3.201447873</t>
  </si>
  <si>
    <t>0.007791068</t>
  </si>
  <si>
    <t>8.307096479</t>
  </si>
  <si>
    <t>3278.743724258</t>
  </si>
  <si>
    <t>2025-03-25 00:00</t>
  </si>
  <si>
    <t>487.258693376</t>
  </si>
  <si>
    <t>0.037320977</t>
  </si>
  <si>
    <t>3.160232992</t>
  </si>
  <si>
    <t>0.002378781</t>
  </si>
  <si>
    <t>2.709367331</t>
  </si>
  <si>
    <t>3236.479020709</t>
  </si>
  <si>
    <t>2025-03-24 00:00</t>
  </si>
  <si>
    <t>486.794057359</t>
  </si>
  <si>
    <t>0.037186627</t>
  </si>
  <si>
    <t>3.658926872</t>
  </si>
  <si>
    <t>0.003950854</t>
  </si>
  <si>
    <t>4.424073112</t>
  </si>
  <si>
    <t>3747.281965875</t>
  </si>
  <si>
    <t>2025-03-23 00:00</t>
  </si>
  <si>
    <t>486.585172370</t>
  </si>
  <si>
    <t>0.037482174</t>
  </si>
  <si>
    <t>3.904230258</t>
  </si>
  <si>
    <t>0.008177535</t>
  </si>
  <si>
    <t>8.770781922</t>
  </si>
  <si>
    <t>3998.548927644</t>
  </si>
  <si>
    <t>2025-03-22 00:00</t>
  </si>
  <si>
    <t>486.192304389</t>
  </si>
  <si>
    <t>0.037445193</t>
  </si>
  <si>
    <t>3.391042742</t>
  </si>
  <si>
    <t>0.003566113</t>
  </si>
  <si>
    <t>3.952363311</t>
  </si>
  <si>
    <t>3472.859091179</t>
  </si>
  <si>
    <t>2025-03-21 00:00</t>
  </si>
  <si>
    <t>485.424729204</t>
  </si>
  <si>
    <t>0.036272518</t>
  </si>
  <si>
    <t>3.999112176</t>
  </si>
  <si>
    <t>0.003021457</t>
  </si>
  <si>
    <t>3.426162241</t>
  </si>
  <si>
    <t>4095.694138006</t>
  </si>
  <si>
    <t>Egress % out of Ingress</t>
  </si>
  <si>
    <t>Egress % out of Active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</si>
</sst>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7" formatCode="0.0000%"/>
    <numFmt numFmtId="168" formatCode="0.00000%"/>
  </numFmts>
  <fonts count="4" x14ac:knownFonts="1">
    <font>
      <sz val="11"/>
      <color indexed="8"/>
      <name val="Aptos Narrow"/>
      <family val="2"/>
      <scheme val="minor"/>
    </font>
    <font>
      <b/>
      <sz val="12"/>
      <color indexed="8"/>
      <name val="Calibri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68" fontId="0" fillId="0" borderId="0" xfId="1" applyNumberFormat="1" applyFont="1" applyAlignment="1">
      <alignment horizontal="center"/>
    </xf>
    <xf numFmtId="167" fontId="0" fillId="0" borderId="0" xfId="1" applyNumberFormat="1" applyFont="1" applyAlignment="1">
      <alignment horizontal="center"/>
    </xf>
    <xf numFmtId="168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3"/>
  <sheetViews>
    <sheetView tabSelected="1" topLeftCell="A52" workbookViewId="0">
      <selection activeCell="M93" sqref="M93:N93"/>
    </sheetView>
  </sheetViews>
  <sheetFormatPr baseColWidth="10" defaultColWidth="8.83203125" defaultRowHeight="15" x14ac:dyDescent="0.2"/>
  <cols>
    <col min="1" max="2" width="15" bestFit="1" customWidth="1"/>
    <col min="3" max="3" width="17.33203125" bestFit="1" customWidth="1"/>
    <col min="4" max="4" width="18.6640625" bestFit="1" customWidth="1"/>
    <col min="5" max="5" width="17.33203125" bestFit="1" customWidth="1"/>
    <col min="6" max="6" width="16.33203125" bestFit="1" customWidth="1"/>
    <col min="7" max="7" width="13" bestFit="1" customWidth="1"/>
    <col min="8" max="8" width="14.33203125" bestFit="1" customWidth="1"/>
    <col min="9" max="9" width="12.6640625" bestFit="1" customWidth="1"/>
    <col min="10" max="10" width="14.6640625" bestFit="1" customWidth="1"/>
    <col min="11" max="11" width="8.1640625" bestFit="1" customWidth="1"/>
    <col min="13" max="13" width="20.33203125" bestFit="1" customWidth="1"/>
    <col min="14" max="14" width="26.6640625" bestFit="1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1" t="s">
        <v>648</v>
      </c>
      <c r="N1" s="1" t="s">
        <v>649</v>
      </c>
    </row>
    <row r="2" spans="1:14" x14ac:dyDescent="0.2">
      <c r="A2" s="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13102950</v>
      </c>
      <c r="H2">
        <v>9825535</v>
      </c>
      <c r="I2" t="s">
        <v>17</v>
      </c>
      <c r="J2" t="s">
        <v>18</v>
      </c>
      <c r="K2">
        <v>460327</v>
      </c>
      <c r="M2" s="3">
        <f>I2/J2</f>
        <v>1.2627825448141189E-4</v>
      </c>
      <c r="N2" s="4">
        <f>I2/C2</f>
        <v>6.2894154516006655E-4</v>
      </c>
    </row>
    <row r="3" spans="1:14" x14ac:dyDescent="0.2">
      <c r="A3" s="2" t="s">
        <v>19</v>
      </c>
      <c r="B3" t="s">
        <v>11</v>
      </c>
      <c r="C3" t="s">
        <v>20</v>
      </c>
      <c r="D3" t="s">
        <v>21</v>
      </c>
      <c r="E3" t="s">
        <v>22</v>
      </c>
      <c r="F3" t="s">
        <v>23</v>
      </c>
      <c r="G3">
        <v>13090929</v>
      </c>
      <c r="H3">
        <v>9750701</v>
      </c>
      <c r="I3" t="s">
        <v>24</v>
      </c>
      <c r="J3" t="s">
        <v>25</v>
      </c>
      <c r="K3">
        <v>477419</v>
      </c>
      <c r="M3" s="3">
        <f t="shared" ref="M3:M66" si="0">I3/J3</f>
        <v>9.7732792757304022E-5</v>
      </c>
      <c r="N3" s="4">
        <f t="shared" ref="N3:N66" si="1">I3/C3</f>
        <v>4.7464662919535089E-4</v>
      </c>
    </row>
    <row r="4" spans="1:14" x14ac:dyDescent="0.2">
      <c r="A4" s="2" t="s">
        <v>26</v>
      </c>
      <c r="B4" t="s">
        <v>19</v>
      </c>
      <c r="C4" t="s">
        <v>27</v>
      </c>
      <c r="D4" t="s">
        <v>28</v>
      </c>
      <c r="E4" t="s">
        <v>29</v>
      </c>
      <c r="F4" t="s">
        <v>30</v>
      </c>
      <c r="G4">
        <v>13084085</v>
      </c>
      <c r="H4">
        <v>9740213</v>
      </c>
      <c r="I4" t="s">
        <v>31</v>
      </c>
      <c r="J4" t="s">
        <v>32</v>
      </c>
      <c r="K4">
        <v>450073</v>
      </c>
      <c r="M4" s="3">
        <f t="shared" si="0"/>
        <v>2.337437812617375E-4</v>
      </c>
      <c r="N4" s="4">
        <f t="shared" si="1"/>
        <v>1.0535798799986636E-3</v>
      </c>
    </row>
    <row r="5" spans="1:14" x14ac:dyDescent="0.2">
      <c r="A5" s="2" t="s">
        <v>33</v>
      </c>
      <c r="B5" t="s">
        <v>26</v>
      </c>
      <c r="C5" t="s">
        <v>34</v>
      </c>
      <c r="D5" t="s">
        <v>35</v>
      </c>
      <c r="E5" t="s">
        <v>36</v>
      </c>
      <c r="F5" t="s">
        <v>37</v>
      </c>
      <c r="G5">
        <v>13073308</v>
      </c>
      <c r="H5">
        <v>9755007</v>
      </c>
      <c r="I5" t="s">
        <v>38</v>
      </c>
      <c r="J5" t="s">
        <v>39</v>
      </c>
      <c r="K5">
        <v>621031</v>
      </c>
      <c r="M5" s="3">
        <f t="shared" si="0"/>
        <v>1.3067254420295383E-4</v>
      </c>
      <c r="N5" s="4">
        <f t="shared" si="1"/>
        <v>7.3233522055375254E-4</v>
      </c>
    </row>
    <row r="6" spans="1:14" x14ac:dyDescent="0.2">
      <c r="A6" s="2" t="s">
        <v>40</v>
      </c>
      <c r="B6" t="s">
        <v>33</v>
      </c>
      <c r="C6" t="s">
        <v>41</v>
      </c>
      <c r="D6" t="s">
        <v>42</v>
      </c>
      <c r="E6" t="s">
        <v>43</v>
      </c>
      <c r="F6" t="s">
        <v>44</v>
      </c>
      <c r="G6">
        <v>13067918</v>
      </c>
      <c r="H6">
        <v>9749620</v>
      </c>
      <c r="I6" t="s">
        <v>45</v>
      </c>
      <c r="J6" t="s">
        <v>46</v>
      </c>
      <c r="K6">
        <v>693565</v>
      </c>
      <c r="M6" s="3">
        <f t="shared" si="0"/>
        <v>9.6557220103683032E-5</v>
      </c>
      <c r="N6" s="4">
        <f t="shared" si="1"/>
        <v>6.6046321443155294E-4</v>
      </c>
    </row>
    <row r="7" spans="1:14" x14ac:dyDescent="0.2">
      <c r="A7" s="2" t="s">
        <v>47</v>
      </c>
      <c r="B7" t="s">
        <v>40</v>
      </c>
      <c r="C7" t="s">
        <v>48</v>
      </c>
      <c r="D7" t="s">
        <v>49</v>
      </c>
      <c r="E7" t="s">
        <v>50</v>
      </c>
      <c r="F7" t="s">
        <v>51</v>
      </c>
      <c r="G7">
        <v>13069223</v>
      </c>
      <c r="H7">
        <v>9747509</v>
      </c>
      <c r="I7" t="s">
        <v>52</v>
      </c>
      <c r="J7" t="s">
        <v>53</v>
      </c>
      <c r="K7">
        <v>437775</v>
      </c>
      <c r="M7" s="3">
        <f t="shared" si="0"/>
        <v>1.0316277827494976E-4</v>
      </c>
      <c r="N7" s="4">
        <f t="shared" si="1"/>
        <v>4.8015524939881943E-4</v>
      </c>
    </row>
    <row r="8" spans="1:14" x14ac:dyDescent="0.2">
      <c r="A8" s="2" t="s">
        <v>54</v>
      </c>
      <c r="B8" t="s">
        <v>47</v>
      </c>
      <c r="C8" t="s">
        <v>55</v>
      </c>
      <c r="D8" t="s">
        <v>56</v>
      </c>
      <c r="E8" t="s">
        <v>57</v>
      </c>
      <c r="F8" t="s">
        <v>58</v>
      </c>
      <c r="G8">
        <v>13063705</v>
      </c>
      <c r="H8">
        <v>9742261</v>
      </c>
      <c r="I8" t="s">
        <v>59</v>
      </c>
      <c r="J8" t="s">
        <v>60</v>
      </c>
      <c r="K8">
        <v>401242</v>
      </c>
      <c r="M8" s="3">
        <f t="shared" si="0"/>
        <v>6.7441650058354687E-5</v>
      </c>
      <c r="N8" s="4">
        <f t="shared" si="1"/>
        <v>3.0773756719172749E-4</v>
      </c>
    </row>
    <row r="9" spans="1:14" x14ac:dyDescent="0.2">
      <c r="A9" s="2" t="s">
        <v>61</v>
      </c>
      <c r="B9" t="s">
        <v>54</v>
      </c>
      <c r="C9" t="s">
        <v>62</v>
      </c>
      <c r="D9" t="s">
        <v>63</v>
      </c>
      <c r="E9" t="s">
        <v>64</v>
      </c>
      <c r="F9" t="s">
        <v>65</v>
      </c>
      <c r="G9">
        <v>13055402</v>
      </c>
      <c r="H9">
        <v>9736214</v>
      </c>
      <c r="I9" t="s">
        <v>66</v>
      </c>
      <c r="J9" t="s">
        <v>67</v>
      </c>
      <c r="K9">
        <v>427881</v>
      </c>
      <c r="M9" s="3">
        <f t="shared" si="0"/>
        <v>8.0662577424863943E-4</v>
      </c>
      <c r="N9" s="4">
        <f t="shared" si="1"/>
        <v>3.6700897960889305E-3</v>
      </c>
    </row>
    <row r="10" spans="1:14" x14ac:dyDescent="0.2">
      <c r="A10" s="2" t="s">
        <v>68</v>
      </c>
      <c r="B10" t="s">
        <v>61</v>
      </c>
      <c r="C10" t="s">
        <v>69</v>
      </c>
      <c r="D10" t="s">
        <v>70</v>
      </c>
      <c r="E10" t="s">
        <v>71</v>
      </c>
      <c r="F10" t="s">
        <v>72</v>
      </c>
      <c r="G10">
        <v>13048821</v>
      </c>
      <c r="H10">
        <v>9731466</v>
      </c>
      <c r="I10" t="s">
        <v>73</v>
      </c>
      <c r="J10" t="s">
        <v>74</v>
      </c>
      <c r="K10">
        <v>437765</v>
      </c>
      <c r="M10" s="3">
        <f t="shared" si="0"/>
        <v>1.1956543250838966E-3</v>
      </c>
      <c r="N10" s="4">
        <f t="shared" si="1"/>
        <v>5.2878704054708653E-3</v>
      </c>
    </row>
    <row r="11" spans="1:14" x14ac:dyDescent="0.2">
      <c r="A11" s="2" t="s">
        <v>75</v>
      </c>
      <c r="B11" t="s">
        <v>68</v>
      </c>
      <c r="C11" t="s">
        <v>76</v>
      </c>
      <c r="D11" t="s">
        <v>77</v>
      </c>
      <c r="E11" t="s">
        <v>78</v>
      </c>
      <c r="F11" t="s">
        <v>79</v>
      </c>
      <c r="G11">
        <v>13044434</v>
      </c>
      <c r="H11">
        <v>9743306</v>
      </c>
      <c r="I11" t="s">
        <v>80</v>
      </c>
      <c r="J11" t="s">
        <v>81</v>
      </c>
      <c r="K11">
        <v>382399</v>
      </c>
      <c r="M11" s="3">
        <f t="shared" si="0"/>
        <v>1.6924500860381183E-3</v>
      </c>
      <c r="N11" s="4">
        <f t="shared" si="1"/>
        <v>6.2423921594898912E-3</v>
      </c>
    </row>
    <row r="12" spans="1:14" x14ac:dyDescent="0.2">
      <c r="A12" s="2" t="s">
        <v>82</v>
      </c>
      <c r="B12" t="s">
        <v>75</v>
      </c>
      <c r="C12" t="s">
        <v>83</v>
      </c>
      <c r="D12" t="s">
        <v>84</v>
      </c>
      <c r="E12" t="s">
        <v>85</v>
      </c>
      <c r="F12" t="s">
        <v>86</v>
      </c>
      <c r="G12">
        <v>13032743</v>
      </c>
      <c r="H12">
        <v>9752834</v>
      </c>
      <c r="I12" t="s">
        <v>87</v>
      </c>
      <c r="J12" t="s">
        <v>88</v>
      </c>
      <c r="K12">
        <v>633610</v>
      </c>
      <c r="M12" s="3">
        <f t="shared" si="0"/>
        <v>1.4156632004235737E-3</v>
      </c>
      <c r="N12" s="4">
        <f t="shared" si="1"/>
        <v>8.1140166815031854E-3</v>
      </c>
    </row>
    <row r="13" spans="1:14" x14ac:dyDescent="0.2">
      <c r="A13" s="2" t="s">
        <v>89</v>
      </c>
      <c r="B13" t="s">
        <v>82</v>
      </c>
      <c r="C13" t="s">
        <v>90</v>
      </c>
      <c r="D13" t="s">
        <v>91</v>
      </c>
      <c r="E13" t="s">
        <v>92</v>
      </c>
      <c r="F13" t="s">
        <v>93</v>
      </c>
      <c r="G13">
        <v>13028213</v>
      </c>
      <c r="H13">
        <v>9751485</v>
      </c>
      <c r="I13" t="s">
        <v>94</v>
      </c>
      <c r="J13" t="s">
        <v>95</v>
      </c>
      <c r="K13">
        <v>562035</v>
      </c>
      <c r="M13" s="3">
        <f t="shared" si="0"/>
        <v>1.6551847559311309E-4</v>
      </c>
      <c r="N13" s="4">
        <f t="shared" si="1"/>
        <v>1.005935962983457E-3</v>
      </c>
    </row>
    <row r="14" spans="1:14" x14ac:dyDescent="0.2">
      <c r="A14" s="2" t="s">
        <v>96</v>
      </c>
      <c r="B14" t="s">
        <v>89</v>
      </c>
      <c r="C14" t="s">
        <v>97</v>
      </c>
      <c r="D14" t="s">
        <v>98</v>
      </c>
      <c r="E14" t="s">
        <v>99</v>
      </c>
      <c r="F14" t="s">
        <v>100</v>
      </c>
      <c r="G14">
        <v>13022842</v>
      </c>
      <c r="H14">
        <v>9747633</v>
      </c>
      <c r="I14" t="s">
        <v>101</v>
      </c>
      <c r="J14" t="s">
        <v>102</v>
      </c>
      <c r="K14">
        <v>368470</v>
      </c>
      <c r="M14" s="3">
        <f t="shared" si="0"/>
        <v>1.393805923671916E-4</v>
      </c>
      <c r="N14" s="4">
        <f t="shared" si="1"/>
        <v>5.4121732585617752E-4</v>
      </c>
    </row>
    <row r="15" spans="1:14" x14ac:dyDescent="0.2">
      <c r="A15" s="2" t="s">
        <v>103</v>
      </c>
      <c r="B15" t="s">
        <v>96</v>
      </c>
      <c r="C15" t="s">
        <v>104</v>
      </c>
      <c r="D15" t="s">
        <v>105</v>
      </c>
      <c r="E15" t="s">
        <v>106</v>
      </c>
      <c r="F15" t="s">
        <v>107</v>
      </c>
      <c r="G15">
        <v>13017068</v>
      </c>
      <c r="H15">
        <v>9746027</v>
      </c>
      <c r="I15" t="s">
        <v>108</v>
      </c>
      <c r="J15" t="s">
        <v>109</v>
      </c>
      <c r="K15">
        <v>458834</v>
      </c>
      <c r="M15" s="3">
        <f t="shared" si="0"/>
        <v>9.1646240158352115E-4</v>
      </c>
      <c r="N15" s="4">
        <f t="shared" si="1"/>
        <v>4.401884535160043E-3</v>
      </c>
    </row>
    <row r="16" spans="1:14" x14ac:dyDescent="0.2">
      <c r="A16" s="2" t="s">
        <v>110</v>
      </c>
      <c r="B16" t="s">
        <v>103</v>
      </c>
      <c r="C16" t="s">
        <v>111</v>
      </c>
      <c r="D16" t="s">
        <v>112</v>
      </c>
      <c r="E16" t="s">
        <v>113</v>
      </c>
      <c r="F16" t="s">
        <v>114</v>
      </c>
      <c r="G16">
        <v>13010928</v>
      </c>
      <c r="H16">
        <v>9673436</v>
      </c>
      <c r="I16" t="s">
        <v>115</v>
      </c>
      <c r="J16" t="s">
        <v>116</v>
      </c>
      <c r="K16">
        <v>454717</v>
      </c>
      <c r="M16" s="3">
        <f t="shared" si="0"/>
        <v>3.6178445040315177E-3</v>
      </c>
      <c r="N16" s="4">
        <f t="shared" si="1"/>
        <v>1.6462065415226722E-2</v>
      </c>
    </row>
    <row r="17" spans="1:14" x14ac:dyDescent="0.2">
      <c r="A17" s="2" t="s">
        <v>117</v>
      </c>
      <c r="B17" t="s">
        <v>110</v>
      </c>
      <c r="C17" t="s">
        <v>118</v>
      </c>
      <c r="D17" t="s">
        <v>119</v>
      </c>
      <c r="E17" t="s">
        <v>120</v>
      </c>
      <c r="F17" t="s">
        <v>121</v>
      </c>
      <c r="G17">
        <v>13004959</v>
      </c>
      <c r="H17">
        <v>9671699</v>
      </c>
      <c r="I17" t="s">
        <v>122</v>
      </c>
      <c r="J17" t="s">
        <v>123</v>
      </c>
      <c r="K17">
        <v>409024</v>
      </c>
      <c r="M17" s="3">
        <f t="shared" si="0"/>
        <v>2.1069899211853795E-4</v>
      </c>
      <c r="N17" s="4">
        <f t="shared" si="1"/>
        <v>9.1503185413111215E-4</v>
      </c>
    </row>
    <row r="18" spans="1:14" x14ac:dyDescent="0.2">
      <c r="A18" s="2" t="s">
        <v>124</v>
      </c>
      <c r="B18" t="s">
        <v>117</v>
      </c>
      <c r="C18" t="s">
        <v>125</v>
      </c>
      <c r="D18" t="s">
        <v>126</v>
      </c>
      <c r="E18" t="s">
        <v>127</v>
      </c>
      <c r="F18" t="s">
        <v>128</v>
      </c>
      <c r="G18">
        <v>12996317</v>
      </c>
      <c r="H18">
        <v>9665704</v>
      </c>
      <c r="I18" t="s">
        <v>129</v>
      </c>
      <c r="J18" t="s">
        <v>130</v>
      </c>
      <c r="K18">
        <v>393143</v>
      </c>
      <c r="M18" s="3">
        <f t="shared" si="0"/>
        <v>5.7384950969849768E-4</v>
      </c>
      <c r="N18" s="4">
        <f t="shared" si="1"/>
        <v>2.3213403282431625E-3</v>
      </c>
    </row>
    <row r="19" spans="1:14" x14ac:dyDescent="0.2">
      <c r="A19" s="2" t="s">
        <v>131</v>
      </c>
      <c r="B19" t="s">
        <v>124</v>
      </c>
      <c r="C19" t="s">
        <v>132</v>
      </c>
      <c r="D19" t="s">
        <v>133</v>
      </c>
      <c r="E19" t="s">
        <v>134</v>
      </c>
      <c r="F19" t="s">
        <v>135</v>
      </c>
      <c r="G19">
        <v>12988958</v>
      </c>
      <c r="H19">
        <v>9660248</v>
      </c>
      <c r="I19" t="s">
        <v>136</v>
      </c>
      <c r="J19" t="s">
        <v>137</v>
      </c>
      <c r="K19">
        <v>495117</v>
      </c>
      <c r="M19" s="3">
        <f t="shared" si="0"/>
        <v>1.3100525136003574E-4</v>
      </c>
      <c r="N19" s="4">
        <f t="shared" si="1"/>
        <v>6.813957760145662E-4</v>
      </c>
    </row>
    <row r="20" spans="1:14" x14ac:dyDescent="0.2">
      <c r="A20" s="2" t="s">
        <v>138</v>
      </c>
      <c r="B20" t="s">
        <v>131</v>
      </c>
      <c r="C20" t="s">
        <v>139</v>
      </c>
      <c r="D20" t="s">
        <v>140</v>
      </c>
      <c r="E20" t="s">
        <v>141</v>
      </c>
      <c r="F20" t="s">
        <v>142</v>
      </c>
      <c r="G20">
        <v>12980230</v>
      </c>
      <c r="H20">
        <v>9652410</v>
      </c>
      <c r="I20" t="s">
        <v>143</v>
      </c>
      <c r="J20" t="s">
        <v>144</v>
      </c>
      <c r="K20">
        <v>473282</v>
      </c>
      <c r="M20" s="3">
        <f t="shared" si="0"/>
        <v>9.4896820762837314E-5</v>
      </c>
      <c r="N20" s="4">
        <f t="shared" si="1"/>
        <v>5.8872333551480342E-4</v>
      </c>
    </row>
    <row r="21" spans="1:14" x14ac:dyDescent="0.2">
      <c r="A21" s="2" t="s">
        <v>145</v>
      </c>
      <c r="B21" t="s">
        <v>138</v>
      </c>
      <c r="C21" t="s">
        <v>146</v>
      </c>
      <c r="D21" t="s">
        <v>147</v>
      </c>
      <c r="E21" t="s">
        <v>148</v>
      </c>
      <c r="F21" t="s">
        <v>149</v>
      </c>
      <c r="G21">
        <v>12971232</v>
      </c>
      <c r="H21">
        <v>9643551</v>
      </c>
      <c r="I21" t="s">
        <v>150</v>
      </c>
      <c r="J21" t="s">
        <v>151</v>
      </c>
      <c r="K21">
        <v>323059</v>
      </c>
      <c r="M21" s="3">
        <f t="shared" si="0"/>
        <v>5.6740075761543539E-5</v>
      </c>
      <c r="N21" s="4">
        <f t="shared" si="1"/>
        <v>2.5289973976719418E-4</v>
      </c>
    </row>
    <row r="22" spans="1:14" x14ac:dyDescent="0.2">
      <c r="A22" s="2" t="s">
        <v>152</v>
      </c>
      <c r="B22" t="s">
        <v>145</v>
      </c>
      <c r="C22" t="s">
        <v>153</v>
      </c>
      <c r="D22" t="s">
        <v>154</v>
      </c>
      <c r="E22" t="s">
        <v>155</v>
      </c>
      <c r="F22" t="s">
        <v>156</v>
      </c>
      <c r="G22">
        <v>12963123</v>
      </c>
      <c r="H22">
        <v>9634938</v>
      </c>
      <c r="I22" t="s">
        <v>157</v>
      </c>
      <c r="J22" t="s">
        <v>158</v>
      </c>
      <c r="K22">
        <v>473537</v>
      </c>
      <c r="M22" s="3">
        <f t="shared" si="0"/>
        <v>2.4783786536700606E-3</v>
      </c>
      <c r="N22" s="4">
        <f t="shared" si="1"/>
        <v>1.1139615210354595E-2</v>
      </c>
    </row>
    <row r="23" spans="1:14" x14ac:dyDescent="0.2">
      <c r="A23" s="2" t="s">
        <v>159</v>
      </c>
      <c r="B23" t="s">
        <v>152</v>
      </c>
      <c r="C23" t="s">
        <v>160</v>
      </c>
      <c r="D23" t="s">
        <v>161</v>
      </c>
      <c r="E23" t="s">
        <v>162</v>
      </c>
      <c r="F23" t="s">
        <v>163</v>
      </c>
      <c r="G23">
        <v>12955324</v>
      </c>
      <c r="H23">
        <v>9628609</v>
      </c>
      <c r="I23" t="s">
        <v>164</v>
      </c>
      <c r="J23" t="s">
        <v>165</v>
      </c>
      <c r="K23">
        <v>450937</v>
      </c>
      <c r="M23" s="3">
        <f t="shared" si="0"/>
        <v>8.5489672321377533E-5</v>
      </c>
      <c r="N23" s="4">
        <f t="shared" si="1"/>
        <v>4.082442433426674E-4</v>
      </c>
    </row>
    <row r="24" spans="1:14" x14ac:dyDescent="0.2">
      <c r="A24" s="2" t="s">
        <v>166</v>
      </c>
      <c r="B24" t="s">
        <v>159</v>
      </c>
      <c r="C24" t="s">
        <v>167</v>
      </c>
      <c r="D24" t="s">
        <v>168</v>
      </c>
      <c r="E24" t="s">
        <v>169</v>
      </c>
      <c r="F24" t="s">
        <v>170</v>
      </c>
      <c r="G24">
        <v>12945980</v>
      </c>
      <c r="H24">
        <v>9618245</v>
      </c>
      <c r="I24" t="s">
        <v>171</v>
      </c>
      <c r="J24" t="s">
        <v>172</v>
      </c>
      <c r="K24">
        <v>445038</v>
      </c>
      <c r="M24" s="3">
        <f t="shared" si="0"/>
        <v>5.6612134523407413E-4</v>
      </c>
      <c r="N24" s="4">
        <f t="shared" si="1"/>
        <v>2.524860668266439E-3</v>
      </c>
    </row>
    <row r="25" spans="1:14" x14ac:dyDescent="0.2">
      <c r="A25" s="2" t="s">
        <v>173</v>
      </c>
      <c r="B25" t="s">
        <v>166</v>
      </c>
      <c r="C25" t="s">
        <v>174</v>
      </c>
      <c r="D25" t="s">
        <v>175</v>
      </c>
      <c r="E25" t="s">
        <v>176</v>
      </c>
      <c r="F25" t="s">
        <v>177</v>
      </c>
      <c r="G25">
        <v>12943417</v>
      </c>
      <c r="H25">
        <v>9618873</v>
      </c>
      <c r="I25" t="s">
        <v>178</v>
      </c>
      <c r="J25" t="s">
        <v>179</v>
      </c>
      <c r="K25">
        <v>506393</v>
      </c>
      <c r="M25" s="3">
        <f t="shared" si="0"/>
        <v>1.5256486628454924E-3</v>
      </c>
      <c r="N25" s="4">
        <f t="shared" si="1"/>
        <v>7.0914013403011907E-3</v>
      </c>
    </row>
    <row r="26" spans="1:14" x14ac:dyDescent="0.2">
      <c r="A26" s="2" t="s">
        <v>180</v>
      </c>
      <c r="B26" t="s">
        <v>173</v>
      </c>
      <c r="C26" t="s">
        <v>181</v>
      </c>
      <c r="D26" t="s">
        <v>182</v>
      </c>
      <c r="E26" t="s">
        <v>183</v>
      </c>
      <c r="F26" t="s">
        <v>184</v>
      </c>
      <c r="G26">
        <v>12935023</v>
      </c>
      <c r="H26">
        <v>9620995</v>
      </c>
      <c r="I26" t="s">
        <v>185</v>
      </c>
      <c r="J26" t="s">
        <v>186</v>
      </c>
      <c r="K26">
        <v>672889</v>
      </c>
      <c r="M26" s="3">
        <f t="shared" si="0"/>
        <v>5.6256018790114791E-4</v>
      </c>
      <c r="N26" s="4">
        <f t="shared" si="1"/>
        <v>3.8913953119609811E-3</v>
      </c>
    </row>
    <row r="27" spans="1:14" x14ac:dyDescent="0.2">
      <c r="A27" s="2" t="s">
        <v>187</v>
      </c>
      <c r="B27" t="s">
        <v>180</v>
      </c>
      <c r="C27" t="s">
        <v>188</v>
      </c>
      <c r="D27" t="s">
        <v>189</v>
      </c>
      <c r="E27" t="s">
        <v>190</v>
      </c>
      <c r="F27" t="s">
        <v>191</v>
      </c>
      <c r="G27">
        <v>12934155</v>
      </c>
      <c r="H27">
        <v>9620066</v>
      </c>
      <c r="I27" t="s">
        <v>192</v>
      </c>
      <c r="J27" t="s">
        <v>193</v>
      </c>
      <c r="K27">
        <v>451815</v>
      </c>
      <c r="M27" s="3">
        <f t="shared" si="0"/>
        <v>2.4222739410396051E-4</v>
      </c>
      <c r="N27" s="4">
        <f t="shared" si="1"/>
        <v>1.3090527838927615E-3</v>
      </c>
    </row>
    <row r="28" spans="1:14" x14ac:dyDescent="0.2">
      <c r="A28" s="2" t="s">
        <v>194</v>
      </c>
      <c r="B28" t="s">
        <v>187</v>
      </c>
      <c r="C28" t="s">
        <v>195</v>
      </c>
      <c r="D28" t="s">
        <v>196</v>
      </c>
      <c r="E28" t="s">
        <v>197</v>
      </c>
      <c r="F28" t="s">
        <v>198</v>
      </c>
      <c r="G28">
        <v>12930542</v>
      </c>
      <c r="H28">
        <v>9623482</v>
      </c>
      <c r="I28" t="s">
        <v>199</v>
      </c>
      <c r="J28" t="s">
        <v>200</v>
      </c>
      <c r="K28">
        <v>386941</v>
      </c>
      <c r="M28" s="3">
        <f t="shared" si="0"/>
        <v>1.1610358289771902E-4</v>
      </c>
      <c r="N28" s="4">
        <f t="shared" si="1"/>
        <v>5.6721936175639957E-4</v>
      </c>
    </row>
    <row r="29" spans="1:14" x14ac:dyDescent="0.2">
      <c r="A29" s="2" t="s">
        <v>201</v>
      </c>
      <c r="B29" t="s">
        <v>194</v>
      </c>
      <c r="C29" t="s">
        <v>202</v>
      </c>
      <c r="D29" t="s">
        <v>203</v>
      </c>
      <c r="E29" t="s">
        <v>204</v>
      </c>
      <c r="F29" t="s">
        <v>205</v>
      </c>
      <c r="G29">
        <v>12927868</v>
      </c>
      <c r="H29">
        <v>9620888</v>
      </c>
      <c r="I29" t="s">
        <v>206</v>
      </c>
      <c r="J29" t="s">
        <v>207</v>
      </c>
      <c r="K29">
        <v>484632</v>
      </c>
      <c r="M29" s="3">
        <f t="shared" si="0"/>
        <v>1.0473932682633941E-3</v>
      </c>
      <c r="N29" s="4">
        <f t="shared" si="1"/>
        <v>5.4228410842906043E-3</v>
      </c>
    </row>
    <row r="30" spans="1:14" x14ac:dyDescent="0.2">
      <c r="A30" s="2" t="s">
        <v>208</v>
      </c>
      <c r="B30" t="s">
        <v>201</v>
      </c>
      <c r="C30" t="s">
        <v>209</v>
      </c>
      <c r="D30" t="s">
        <v>210</v>
      </c>
      <c r="E30" t="s">
        <v>211</v>
      </c>
      <c r="F30" t="s">
        <v>212</v>
      </c>
      <c r="G30">
        <v>12924299</v>
      </c>
      <c r="H30">
        <v>9617777</v>
      </c>
      <c r="I30" t="s">
        <v>213</v>
      </c>
      <c r="J30" t="s">
        <v>214</v>
      </c>
      <c r="K30">
        <v>338889</v>
      </c>
      <c r="M30" s="3">
        <f t="shared" si="0"/>
        <v>8.0200927204912109E-4</v>
      </c>
      <c r="N30" s="4">
        <f t="shared" si="1"/>
        <v>2.6776687140358329E-3</v>
      </c>
    </row>
    <row r="31" spans="1:14" x14ac:dyDescent="0.2">
      <c r="A31" s="2" t="s">
        <v>215</v>
      </c>
      <c r="B31" t="s">
        <v>208</v>
      </c>
      <c r="C31" t="s">
        <v>216</v>
      </c>
      <c r="D31" t="s">
        <v>217</v>
      </c>
      <c r="E31" t="s">
        <v>218</v>
      </c>
      <c r="F31" t="s">
        <v>219</v>
      </c>
      <c r="G31">
        <v>12919288</v>
      </c>
      <c r="H31">
        <v>9615755</v>
      </c>
      <c r="I31" t="s">
        <v>220</v>
      </c>
      <c r="J31" t="s">
        <v>221</v>
      </c>
      <c r="K31">
        <v>511333</v>
      </c>
      <c r="M31" s="3">
        <f t="shared" si="0"/>
        <v>6.4550885201007362E-3</v>
      </c>
      <c r="N31" s="4">
        <f t="shared" si="1"/>
        <v>3.426422505509287E-2</v>
      </c>
    </row>
    <row r="32" spans="1:14" x14ac:dyDescent="0.2">
      <c r="A32" s="2" t="s">
        <v>222</v>
      </c>
      <c r="B32" t="s">
        <v>215</v>
      </c>
      <c r="C32" t="s">
        <v>223</v>
      </c>
      <c r="D32" t="s">
        <v>224</v>
      </c>
      <c r="E32" t="s">
        <v>225</v>
      </c>
      <c r="F32" t="s">
        <v>226</v>
      </c>
      <c r="G32">
        <v>12864308</v>
      </c>
      <c r="H32">
        <v>9613966</v>
      </c>
      <c r="I32" t="s">
        <v>227</v>
      </c>
      <c r="J32" t="s">
        <v>228</v>
      </c>
      <c r="K32">
        <v>497804</v>
      </c>
      <c r="M32" s="3">
        <f t="shared" si="0"/>
        <v>5.3856432907995553E-3</v>
      </c>
      <c r="N32" s="4">
        <f t="shared" si="1"/>
        <v>3.2180694211899154E-2</v>
      </c>
    </row>
    <row r="33" spans="1:14" x14ac:dyDescent="0.2">
      <c r="A33" s="2" t="s">
        <v>229</v>
      </c>
      <c r="B33" t="s">
        <v>222</v>
      </c>
      <c r="C33" t="s">
        <v>230</v>
      </c>
      <c r="D33" t="s">
        <v>231</v>
      </c>
      <c r="E33" t="s">
        <v>232</v>
      </c>
      <c r="F33" t="s">
        <v>233</v>
      </c>
      <c r="G33">
        <v>12782672</v>
      </c>
      <c r="H33">
        <v>9611778</v>
      </c>
      <c r="I33" t="s">
        <v>234</v>
      </c>
      <c r="J33" t="s">
        <v>235</v>
      </c>
      <c r="K33">
        <v>815428</v>
      </c>
      <c r="M33" s="3">
        <f t="shared" si="0"/>
        <v>6.2995612204165803E-3</v>
      </c>
      <c r="N33" s="4">
        <f t="shared" si="1"/>
        <v>4.9396607833783357E-2</v>
      </c>
    </row>
    <row r="34" spans="1:14" x14ac:dyDescent="0.2">
      <c r="A34" s="2" t="s">
        <v>236</v>
      </c>
      <c r="B34" t="s">
        <v>229</v>
      </c>
      <c r="C34" t="s">
        <v>237</v>
      </c>
      <c r="D34" t="s">
        <v>238</v>
      </c>
      <c r="E34" t="s">
        <v>239</v>
      </c>
      <c r="F34" t="s">
        <v>240</v>
      </c>
      <c r="G34">
        <v>12758802</v>
      </c>
      <c r="H34">
        <v>9606779</v>
      </c>
      <c r="I34" t="s">
        <v>241</v>
      </c>
      <c r="J34" t="s">
        <v>242</v>
      </c>
      <c r="K34">
        <v>828548</v>
      </c>
      <c r="M34" s="3">
        <f t="shared" si="0"/>
        <v>1.3363184697530246E-3</v>
      </c>
      <c r="N34" s="4">
        <f t="shared" si="1"/>
        <v>1.2926662565294796E-2</v>
      </c>
    </row>
    <row r="35" spans="1:14" x14ac:dyDescent="0.2">
      <c r="A35" s="2" t="s">
        <v>243</v>
      </c>
      <c r="B35" t="s">
        <v>236</v>
      </c>
      <c r="C35" t="s">
        <v>244</v>
      </c>
      <c r="D35" t="s">
        <v>245</v>
      </c>
      <c r="E35" t="s">
        <v>246</v>
      </c>
      <c r="F35" t="s">
        <v>149</v>
      </c>
      <c r="G35">
        <v>12754295</v>
      </c>
      <c r="H35">
        <v>9602789</v>
      </c>
      <c r="I35" t="s">
        <v>247</v>
      </c>
      <c r="J35" t="s">
        <v>248</v>
      </c>
      <c r="K35">
        <v>552565</v>
      </c>
      <c r="M35" s="3">
        <f t="shared" si="0"/>
        <v>7.1014918054178598E-5</v>
      </c>
      <c r="N35" s="4">
        <f t="shared" si="1"/>
        <v>4.5505281349393948E-4</v>
      </c>
    </row>
    <row r="36" spans="1:14" x14ac:dyDescent="0.2">
      <c r="A36" s="2" t="s">
        <v>249</v>
      </c>
      <c r="B36" t="s">
        <v>243</v>
      </c>
      <c r="C36" t="s">
        <v>250</v>
      </c>
      <c r="D36" t="s">
        <v>251</v>
      </c>
      <c r="E36" t="s">
        <v>252</v>
      </c>
      <c r="F36" t="s">
        <v>253</v>
      </c>
      <c r="G36">
        <v>12750675</v>
      </c>
      <c r="H36">
        <v>9599987</v>
      </c>
      <c r="I36" t="s">
        <v>254</v>
      </c>
      <c r="J36" t="s">
        <v>255</v>
      </c>
      <c r="K36">
        <v>528169</v>
      </c>
      <c r="M36" s="3">
        <f t="shared" si="0"/>
        <v>4.3054589457345487E-3</v>
      </c>
      <c r="N36" s="4">
        <f t="shared" si="1"/>
        <v>2.1795009321657614E-2</v>
      </c>
    </row>
    <row r="37" spans="1:14" x14ac:dyDescent="0.2">
      <c r="A37" s="2" t="s">
        <v>256</v>
      </c>
      <c r="B37" t="s">
        <v>249</v>
      </c>
      <c r="C37" t="s">
        <v>257</v>
      </c>
      <c r="D37" t="s">
        <v>258</v>
      </c>
      <c r="E37" t="s">
        <v>259</v>
      </c>
      <c r="F37" t="s">
        <v>260</v>
      </c>
      <c r="G37">
        <v>12754937</v>
      </c>
      <c r="H37">
        <v>9592780</v>
      </c>
      <c r="I37" t="s">
        <v>261</v>
      </c>
      <c r="J37" t="s">
        <v>262</v>
      </c>
      <c r="K37">
        <v>658736</v>
      </c>
      <c r="M37" s="3">
        <f t="shared" si="0"/>
        <v>1.0596503528124884E-2</v>
      </c>
      <c r="N37" s="4">
        <f t="shared" si="1"/>
        <v>5.6813107366841614E-2</v>
      </c>
    </row>
    <row r="38" spans="1:14" x14ac:dyDescent="0.2">
      <c r="A38" s="2" t="s">
        <v>263</v>
      </c>
      <c r="B38" t="s">
        <v>256</v>
      </c>
      <c r="C38" t="s">
        <v>264</v>
      </c>
      <c r="D38" t="s">
        <v>265</v>
      </c>
      <c r="E38" t="s">
        <v>266</v>
      </c>
      <c r="F38" t="s">
        <v>267</v>
      </c>
      <c r="G38">
        <v>12751699</v>
      </c>
      <c r="H38">
        <v>9589302</v>
      </c>
      <c r="I38" t="s">
        <v>268</v>
      </c>
      <c r="J38" t="s">
        <v>269</v>
      </c>
      <c r="K38">
        <v>680869</v>
      </c>
      <c r="M38" s="3">
        <f t="shared" si="0"/>
        <v>7.9916216866165127E-3</v>
      </c>
      <c r="N38" s="4">
        <f t="shared" si="1"/>
        <v>5.0725814410088339E-2</v>
      </c>
    </row>
    <row r="39" spans="1:14" x14ac:dyDescent="0.2">
      <c r="A39" s="2" t="s">
        <v>270</v>
      </c>
      <c r="B39" t="s">
        <v>263</v>
      </c>
      <c r="C39" t="s">
        <v>271</v>
      </c>
      <c r="D39" t="s">
        <v>272</v>
      </c>
      <c r="E39" t="s">
        <v>273</v>
      </c>
      <c r="F39" t="s">
        <v>274</v>
      </c>
      <c r="G39">
        <v>12747014</v>
      </c>
      <c r="H39">
        <v>9585620</v>
      </c>
      <c r="I39" t="s">
        <v>275</v>
      </c>
      <c r="J39" t="s">
        <v>276</v>
      </c>
      <c r="K39">
        <v>674663</v>
      </c>
      <c r="M39" s="3">
        <f t="shared" si="0"/>
        <v>5.192551154532145E-3</v>
      </c>
      <c r="N39" s="4">
        <f t="shared" si="1"/>
        <v>3.1739810196438387E-2</v>
      </c>
    </row>
    <row r="40" spans="1:14" x14ac:dyDescent="0.2">
      <c r="A40" s="2" t="s">
        <v>277</v>
      </c>
      <c r="B40" t="s">
        <v>270</v>
      </c>
      <c r="C40" t="s">
        <v>278</v>
      </c>
      <c r="D40" t="s">
        <v>279</v>
      </c>
      <c r="E40" t="s">
        <v>280</v>
      </c>
      <c r="F40" t="s">
        <v>281</v>
      </c>
      <c r="G40">
        <v>12742138</v>
      </c>
      <c r="H40">
        <v>9582560</v>
      </c>
      <c r="I40" t="s">
        <v>282</v>
      </c>
      <c r="J40" t="s">
        <v>283</v>
      </c>
      <c r="K40">
        <v>829294</v>
      </c>
      <c r="M40" s="3">
        <f t="shared" si="0"/>
        <v>1.0563723442429734E-3</v>
      </c>
      <c r="N40" s="4">
        <f t="shared" si="1"/>
        <v>8.3930097799262901E-3</v>
      </c>
    </row>
    <row r="41" spans="1:14" x14ac:dyDescent="0.2">
      <c r="A41" s="2" t="s">
        <v>284</v>
      </c>
      <c r="B41" t="s">
        <v>277</v>
      </c>
      <c r="C41" t="s">
        <v>285</v>
      </c>
      <c r="D41" t="s">
        <v>286</v>
      </c>
      <c r="E41" t="s">
        <v>287</v>
      </c>
      <c r="F41" t="s">
        <v>288</v>
      </c>
      <c r="G41">
        <v>12739957</v>
      </c>
      <c r="H41">
        <v>9578531</v>
      </c>
      <c r="I41" t="s">
        <v>289</v>
      </c>
      <c r="J41" t="s">
        <v>290</v>
      </c>
      <c r="K41">
        <v>789641</v>
      </c>
      <c r="M41" s="3">
        <f t="shared" si="0"/>
        <v>5.2142156339403292E-4</v>
      </c>
      <c r="N41" s="4">
        <f t="shared" si="1"/>
        <v>4.3336877310653178E-3</v>
      </c>
    </row>
    <row r="42" spans="1:14" x14ac:dyDescent="0.2">
      <c r="A42" s="2" t="s">
        <v>291</v>
      </c>
      <c r="B42" t="s">
        <v>284</v>
      </c>
      <c r="C42" t="s">
        <v>292</v>
      </c>
      <c r="D42" t="s">
        <v>293</v>
      </c>
      <c r="E42" t="s">
        <v>294</v>
      </c>
      <c r="F42" t="s">
        <v>295</v>
      </c>
      <c r="G42">
        <v>12735253</v>
      </c>
      <c r="H42">
        <v>9575307</v>
      </c>
      <c r="I42" t="s">
        <v>296</v>
      </c>
      <c r="J42" t="s">
        <v>297</v>
      </c>
      <c r="K42">
        <v>594320</v>
      </c>
      <c r="M42" s="3">
        <f t="shared" si="0"/>
        <v>3.9213607694884824E-4</v>
      </c>
      <c r="N42" s="4">
        <f t="shared" si="1"/>
        <v>3.1473869208413613E-3</v>
      </c>
    </row>
    <row r="43" spans="1:14" x14ac:dyDescent="0.2">
      <c r="A43" s="2" t="s">
        <v>298</v>
      </c>
      <c r="B43" t="s">
        <v>291</v>
      </c>
      <c r="C43" t="s">
        <v>299</v>
      </c>
      <c r="D43" t="s">
        <v>300</v>
      </c>
      <c r="E43" t="s">
        <v>301</v>
      </c>
      <c r="F43" t="s">
        <v>302</v>
      </c>
      <c r="G43">
        <v>12732819</v>
      </c>
      <c r="H43">
        <v>9571190</v>
      </c>
      <c r="I43" t="s">
        <v>303</v>
      </c>
      <c r="J43" t="s">
        <v>304</v>
      </c>
      <c r="K43">
        <v>581729</v>
      </c>
      <c r="M43" s="3">
        <f t="shared" si="0"/>
        <v>4.0797640708070048E-3</v>
      </c>
      <c r="N43" s="4">
        <f t="shared" si="1"/>
        <v>2.3278581077175713E-2</v>
      </c>
    </row>
    <row r="44" spans="1:14" x14ac:dyDescent="0.2">
      <c r="A44" s="2" t="s">
        <v>305</v>
      </c>
      <c r="B44" t="s">
        <v>298</v>
      </c>
      <c r="C44" t="s">
        <v>306</v>
      </c>
      <c r="D44" t="s">
        <v>307</v>
      </c>
      <c r="E44" t="s">
        <v>308</v>
      </c>
      <c r="F44" t="s">
        <v>309</v>
      </c>
      <c r="G44">
        <v>12730031</v>
      </c>
      <c r="H44">
        <v>9567960</v>
      </c>
      <c r="I44" t="s">
        <v>310</v>
      </c>
      <c r="J44" t="s">
        <v>311</v>
      </c>
      <c r="K44">
        <v>576722</v>
      </c>
      <c r="M44" s="3">
        <f t="shared" si="0"/>
        <v>2.6711463100948145E-3</v>
      </c>
      <c r="N44" s="4">
        <f t="shared" si="1"/>
        <v>1.5057793323993776E-2</v>
      </c>
    </row>
    <row r="45" spans="1:14" x14ac:dyDescent="0.2">
      <c r="A45" s="2" t="s">
        <v>312</v>
      </c>
      <c r="B45" t="s">
        <v>305</v>
      </c>
      <c r="C45" t="s">
        <v>313</v>
      </c>
      <c r="D45" t="s">
        <v>314</v>
      </c>
      <c r="E45" t="s">
        <v>315</v>
      </c>
      <c r="F45" t="s">
        <v>316</v>
      </c>
      <c r="G45">
        <v>12727483</v>
      </c>
      <c r="H45">
        <v>9563354</v>
      </c>
      <c r="I45" t="s">
        <v>317</v>
      </c>
      <c r="J45" t="s">
        <v>318</v>
      </c>
      <c r="K45">
        <v>803589</v>
      </c>
      <c r="M45" s="3">
        <f t="shared" si="0"/>
        <v>5.0295659124217022E-3</v>
      </c>
      <c r="N45" s="4">
        <f t="shared" si="1"/>
        <v>2.8881365042842604E-2</v>
      </c>
    </row>
    <row r="46" spans="1:14" x14ac:dyDescent="0.2">
      <c r="A46" s="2" t="s">
        <v>319</v>
      </c>
      <c r="B46" t="s">
        <v>312</v>
      </c>
      <c r="C46" t="s">
        <v>320</v>
      </c>
      <c r="D46" t="s">
        <v>321</v>
      </c>
      <c r="E46" t="s">
        <v>322</v>
      </c>
      <c r="F46" t="s">
        <v>323</v>
      </c>
      <c r="G46">
        <v>12730482</v>
      </c>
      <c r="H46">
        <v>9630444</v>
      </c>
      <c r="I46" t="s">
        <v>324</v>
      </c>
      <c r="J46" t="s">
        <v>325</v>
      </c>
      <c r="K46">
        <v>372895</v>
      </c>
      <c r="M46" s="3">
        <f t="shared" si="0"/>
        <v>3.52517149232292E-4</v>
      </c>
      <c r="N46" s="4">
        <f t="shared" si="1"/>
        <v>1.4822668323347763E-3</v>
      </c>
    </row>
    <row r="47" spans="1:14" x14ac:dyDescent="0.2">
      <c r="A47" s="2" t="s">
        <v>326</v>
      </c>
      <c r="B47" t="s">
        <v>319</v>
      </c>
      <c r="C47" t="s">
        <v>327</v>
      </c>
      <c r="D47" t="s">
        <v>328</v>
      </c>
      <c r="E47" t="s">
        <v>329</v>
      </c>
      <c r="F47" t="s">
        <v>330</v>
      </c>
      <c r="G47">
        <v>12727828</v>
      </c>
      <c r="H47">
        <v>9625831</v>
      </c>
      <c r="I47" t="s">
        <v>331</v>
      </c>
      <c r="J47" t="s">
        <v>332</v>
      </c>
      <c r="K47">
        <v>823368</v>
      </c>
      <c r="M47" s="3">
        <f t="shared" si="0"/>
        <v>8.7699018437843376E-3</v>
      </c>
      <c r="N47" s="4">
        <f t="shared" si="1"/>
        <v>5.3037829210052317E-2</v>
      </c>
    </row>
    <row r="48" spans="1:14" x14ac:dyDescent="0.2">
      <c r="A48" s="2" t="s">
        <v>333</v>
      </c>
      <c r="B48" t="s">
        <v>326</v>
      </c>
      <c r="C48" t="s">
        <v>334</v>
      </c>
      <c r="D48" t="s">
        <v>335</v>
      </c>
      <c r="E48" t="s">
        <v>336</v>
      </c>
      <c r="F48" t="s">
        <v>337</v>
      </c>
      <c r="G48">
        <v>12722534</v>
      </c>
      <c r="H48">
        <v>9622137</v>
      </c>
      <c r="I48" t="s">
        <v>338</v>
      </c>
      <c r="J48" t="s">
        <v>339</v>
      </c>
      <c r="K48">
        <v>700748</v>
      </c>
      <c r="M48" s="3">
        <f t="shared" si="0"/>
        <v>1.1963196318453525E-3</v>
      </c>
      <c r="N48" s="4">
        <f t="shared" si="1"/>
        <v>8.460046421600545E-3</v>
      </c>
    </row>
    <row r="49" spans="1:14" x14ac:dyDescent="0.2">
      <c r="A49" s="2" t="s">
        <v>340</v>
      </c>
      <c r="B49" t="s">
        <v>333</v>
      </c>
      <c r="C49" t="s">
        <v>341</v>
      </c>
      <c r="D49" t="s">
        <v>342</v>
      </c>
      <c r="E49" t="s">
        <v>343</v>
      </c>
      <c r="F49" t="s">
        <v>344</v>
      </c>
      <c r="G49">
        <v>12724153</v>
      </c>
      <c r="H49">
        <v>9619988</v>
      </c>
      <c r="I49" t="s">
        <v>345</v>
      </c>
      <c r="J49" t="s">
        <v>346</v>
      </c>
      <c r="K49">
        <v>462507</v>
      </c>
      <c r="M49" s="3">
        <f t="shared" si="0"/>
        <v>3.2032003741099243E-3</v>
      </c>
      <c r="N49" s="4">
        <f t="shared" si="1"/>
        <v>1.615090250183452E-2</v>
      </c>
    </row>
    <row r="50" spans="1:14" x14ac:dyDescent="0.2">
      <c r="A50" s="2" t="s">
        <v>347</v>
      </c>
      <c r="B50" t="s">
        <v>340</v>
      </c>
      <c r="C50" t="s">
        <v>348</v>
      </c>
      <c r="D50" t="s">
        <v>349</v>
      </c>
      <c r="E50" t="s">
        <v>350</v>
      </c>
      <c r="F50" t="s">
        <v>351</v>
      </c>
      <c r="G50">
        <v>12724059</v>
      </c>
      <c r="H50">
        <v>9617858</v>
      </c>
      <c r="I50" t="s">
        <v>352</v>
      </c>
      <c r="J50" t="s">
        <v>353</v>
      </c>
      <c r="K50">
        <v>639334</v>
      </c>
      <c r="M50" s="3">
        <f t="shared" si="0"/>
        <v>9.1353477627365114E-3</v>
      </c>
      <c r="N50" s="4">
        <f t="shared" si="1"/>
        <v>5.065454803443932E-2</v>
      </c>
    </row>
    <row r="51" spans="1:14" x14ac:dyDescent="0.2">
      <c r="A51" s="2" t="s">
        <v>354</v>
      </c>
      <c r="B51" t="s">
        <v>347</v>
      </c>
      <c r="C51" t="s">
        <v>355</v>
      </c>
      <c r="D51" t="s">
        <v>356</v>
      </c>
      <c r="E51" t="s">
        <v>357</v>
      </c>
      <c r="F51" t="s">
        <v>358</v>
      </c>
      <c r="G51">
        <v>12723758</v>
      </c>
      <c r="H51">
        <v>9615667</v>
      </c>
      <c r="I51" t="s">
        <v>359</v>
      </c>
      <c r="J51" t="s">
        <v>360</v>
      </c>
      <c r="K51">
        <v>554841</v>
      </c>
      <c r="M51" s="3">
        <f t="shared" si="0"/>
        <v>3.4297935350756626E-3</v>
      </c>
      <c r="N51" s="4">
        <f t="shared" si="1"/>
        <v>1.9572527104104689E-2</v>
      </c>
    </row>
    <row r="52" spans="1:14" x14ac:dyDescent="0.2">
      <c r="A52" s="2" t="s">
        <v>361</v>
      </c>
      <c r="B52" t="s">
        <v>354</v>
      </c>
      <c r="C52" t="s">
        <v>362</v>
      </c>
      <c r="D52" t="s">
        <v>363</v>
      </c>
      <c r="E52" t="s">
        <v>364</v>
      </c>
      <c r="F52" t="s">
        <v>365</v>
      </c>
      <c r="G52">
        <v>12723089</v>
      </c>
      <c r="H52">
        <v>9615069</v>
      </c>
      <c r="I52" t="s">
        <v>366</v>
      </c>
      <c r="J52" t="s">
        <v>367</v>
      </c>
      <c r="K52">
        <v>529683</v>
      </c>
      <c r="M52" s="3">
        <f t="shared" si="0"/>
        <v>2.1499658109964178E-3</v>
      </c>
      <c r="N52" s="4">
        <f t="shared" si="1"/>
        <v>1.1949987687605574E-2</v>
      </c>
    </row>
    <row r="53" spans="1:14" x14ac:dyDescent="0.2">
      <c r="A53" s="2" t="s">
        <v>368</v>
      </c>
      <c r="B53" t="s">
        <v>361</v>
      </c>
      <c r="C53" t="s">
        <v>369</v>
      </c>
      <c r="D53" t="s">
        <v>370</v>
      </c>
      <c r="E53" t="s">
        <v>371</v>
      </c>
      <c r="F53" t="s">
        <v>372</v>
      </c>
      <c r="G53">
        <v>12723143</v>
      </c>
      <c r="H53">
        <v>9614681</v>
      </c>
      <c r="I53" t="s">
        <v>373</v>
      </c>
      <c r="J53" t="s">
        <v>374</v>
      </c>
      <c r="K53">
        <v>649625</v>
      </c>
      <c r="M53" s="3">
        <f t="shared" si="0"/>
        <v>4.052603707469335E-3</v>
      </c>
      <c r="N53" s="4">
        <f t="shared" si="1"/>
        <v>2.7166464294667715E-2</v>
      </c>
    </row>
    <row r="54" spans="1:14" x14ac:dyDescent="0.2">
      <c r="A54" s="2" t="s">
        <v>375</v>
      </c>
      <c r="B54" t="s">
        <v>368</v>
      </c>
      <c r="C54" t="s">
        <v>376</v>
      </c>
      <c r="D54" t="s">
        <v>377</v>
      </c>
      <c r="E54" t="s">
        <v>378</v>
      </c>
      <c r="F54" t="s">
        <v>379</v>
      </c>
      <c r="G54">
        <v>12718806</v>
      </c>
      <c r="H54">
        <v>9614853</v>
      </c>
      <c r="I54" t="s">
        <v>380</v>
      </c>
      <c r="J54" t="s">
        <v>381</v>
      </c>
      <c r="K54">
        <v>711134</v>
      </c>
      <c r="M54" s="3">
        <f t="shared" si="0"/>
        <v>3.8880487849811331E-4</v>
      </c>
      <c r="N54" s="4">
        <f t="shared" si="1"/>
        <v>2.758853776090457E-3</v>
      </c>
    </row>
    <row r="55" spans="1:14" x14ac:dyDescent="0.2">
      <c r="A55" s="2" t="s">
        <v>382</v>
      </c>
      <c r="B55" t="s">
        <v>375</v>
      </c>
      <c r="C55" t="s">
        <v>383</v>
      </c>
      <c r="D55" t="s">
        <v>384</v>
      </c>
      <c r="E55" t="s">
        <v>385</v>
      </c>
      <c r="F55" t="s">
        <v>386</v>
      </c>
      <c r="G55">
        <v>12721937</v>
      </c>
      <c r="H55">
        <v>9611572</v>
      </c>
      <c r="I55" t="s">
        <v>387</v>
      </c>
      <c r="J55" t="s">
        <v>388</v>
      </c>
      <c r="K55">
        <v>755054</v>
      </c>
      <c r="M55" s="3">
        <f t="shared" si="0"/>
        <v>1.551967645107266E-3</v>
      </c>
      <c r="N55" s="4">
        <f t="shared" si="1"/>
        <v>1.261171095277876E-2</v>
      </c>
    </row>
    <row r="56" spans="1:14" x14ac:dyDescent="0.2">
      <c r="A56" s="2" t="s">
        <v>389</v>
      </c>
      <c r="B56" t="s">
        <v>382</v>
      </c>
      <c r="C56" t="s">
        <v>390</v>
      </c>
      <c r="D56" t="s">
        <v>391</v>
      </c>
      <c r="E56" t="s">
        <v>392</v>
      </c>
      <c r="F56" t="s">
        <v>393</v>
      </c>
      <c r="G56">
        <v>12722031</v>
      </c>
      <c r="H56">
        <v>9610121</v>
      </c>
      <c r="I56" t="s">
        <v>394</v>
      </c>
      <c r="J56" t="s">
        <v>395</v>
      </c>
      <c r="K56">
        <v>606190</v>
      </c>
      <c r="M56" s="3">
        <f t="shared" si="0"/>
        <v>6.1001813699371387E-3</v>
      </c>
      <c r="N56" s="4">
        <f t="shared" si="1"/>
        <v>3.0673917979424679E-2</v>
      </c>
    </row>
    <row r="57" spans="1:14" x14ac:dyDescent="0.2">
      <c r="A57" s="2" t="s">
        <v>396</v>
      </c>
      <c r="B57" t="s">
        <v>389</v>
      </c>
      <c r="C57" t="s">
        <v>397</v>
      </c>
      <c r="D57" t="s">
        <v>398</v>
      </c>
      <c r="E57" t="s">
        <v>399</v>
      </c>
      <c r="F57" t="s">
        <v>400</v>
      </c>
      <c r="G57">
        <v>12724690</v>
      </c>
      <c r="H57">
        <v>9607232</v>
      </c>
      <c r="I57" t="s">
        <v>401</v>
      </c>
      <c r="J57" t="s">
        <v>402</v>
      </c>
      <c r="K57">
        <v>640922</v>
      </c>
      <c r="M57" s="3">
        <f t="shared" si="0"/>
        <v>1.6774210491021344E-3</v>
      </c>
      <c r="N57" s="4">
        <f t="shared" si="1"/>
        <v>9.9293049694797065E-3</v>
      </c>
    </row>
    <row r="58" spans="1:14" x14ac:dyDescent="0.2">
      <c r="A58" s="2" t="s">
        <v>403</v>
      </c>
      <c r="B58" t="s">
        <v>396</v>
      </c>
      <c r="C58" t="s">
        <v>404</v>
      </c>
      <c r="D58" t="s">
        <v>405</v>
      </c>
      <c r="E58" t="s">
        <v>406</v>
      </c>
      <c r="F58" t="s">
        <v>407</v>
      </c>
      <c r="G58">
        <v>12726185</v>
      </c>
      <c r="H58">
        <v>9599938</v>
      </c>
      <c r="I58" t="s">
        <v>408</v>
      </c>
      <c r="J58" t="s">
        <v>409</v>
      </c>
      <c r="K58">
        <v>734425</v>
      </c>
      <c r="M58" s="3">
        <f t="shared" si="0"/>
        <v>4.1584058711053237E-3</v>
      </c>
      <c r="N58" s="4">
        <f t="shared" si="1"/>
        <v>2.6674792699889038E-2</v>
      </c>
    </row>
    <row r="59" spans="1:14" x14ac:dyDescent="0.2">
      <c r="A59" s="2" t="s">
        <v>410</v>
      </c>
      <c r="B59" t="s">
        <v>403</v>
      </c>
      <c r="C59" t="s">
        <v>411</v>
      </c>
      <c r="D59" t="s">
        <v>412</v>
      </c>
      <c r="E59" t="s">
        <v>413</v>
      </c>
      <c r="F59" t="s">
        <v>414</v>
      </c>
      <c r="G59">
        <v>12727501</v>
      </c>
      <c r="H59">
        <v>9597267</v>
      </c>
      <c r="I59" t="s">
        <v>415</v>
      </c>
      <c r="J59" t="s">
        <v>416</v>
      </c>
      <c r="K59">
        <v>679791</v>
      </c>
      <c r="M59" s="3">
        <f t="shared" si="0"/>
        <v>4.6219184627347559E-3</v>
      </c>
      <c r="N59" s="4">
        <f t="shared" si="1"/>
        <v>2.8617982316633178E-2</v>
      </c>
    </row>
    <row r="60" spans="1:14" x14ac:dyDescent="0.2">
      <c r="A60" s="2" t="s">
        <v>417</v>
      </c>
      <c r="B60" t="s">
        <v>410</v>
      </c>
      <c r="C60" t="s">
        <v>418</v>
      </c>
      <c r="D60" t="s">
        <v>419</v>
      </c>
      <c r="E60" t="s">
        <v>420</v>
      </c>
      <c r="F60" t="s">
        <v>421</v>
      </c>
      <c r="G60">
        <v>12726315</v>
      </c>
      <c r="H60">
        <v>9595966</v>
      </c>
      <c r="I60" t="s">
        <v>422</v>
      </c>
      <c r="J60" t="s">
        <v>423</v>
      </c>
      <c r="K60">
        <v>659817</v>
      </c>
      <c r="M60" s="3">
        <f t="shared" si="0"/>
        <v>2.2021807531161495E-3</v>
      </c>
      <c r="N60" s="4">
        <f t="shared" si="1"/>
        <v>1.4326920139544666E-2</v>
      </c>
    </row>
    <row r="61" spans="1:14" x14ac:dyDescent="0.2">
      <c r="A61" s="2" t="s">
        <v>424</v>
      </c>
      <c r="B61" t="s">
        <v>417</v>
      </c>
      <c r="C61" t="s">
        <v>425</v>
      </c>
      <c r="D61" t="s">
        <v>426</v>
      </c>
      <c r="E61" t="s">
        <v>427</v>
      </c>
      <c r="F61" t="s">
        <v>428</v>
      </c>
      <c r="G61">
        <v>12722315</v>
      </c>
      <c r="H61">
        <v>9595655</v>
      </c>
      <c r="I61" t="s">
        <v>429</v>
      </c>
      <c r="J61" t="s">
        <v>430</v>
      </c>
      <c r="K61">
        <v>800603</v>
      </c>
      <c r="M61" s="3">
        <f t="shared" si="0"/>
        <v>2.9718137038183341E-3</v>
      </c>
      <c r="N61" s="4">
        <f t="shared" si="1"/>
        <v>2.4486928062033935E-2</v>
      </c>
    </row>
    <row r="62" spans="1:14" x14ac:dyDescent="0.2">
      <c r="A62" s="2" t="s">
        <v>431</v>
      </c>
      <c r="B62" t="s">
        <v>424</v>
      </c>
      <c r="C62" t="s">
        <v>432</v>
      </c>
      <c r="D62" t="s">
        <v>433</v>
      </c>
      <c r="E62" t="s">
        <v>434</v>
      </c>
      <c r="F62" t="s">
        <v>435</v>
      </c>
      <c r="G62">
        <v>12673656</v>
      </c>
      <c r="H62">
        <v>9637896</v>
      </c>
      <c r="I62" t="s">
        <v>436</v>
      </c>
      <c r="J62" t="s">
        <v>437</v>
      </c>
      <c r="K62">
        <v>573995</v>
      </c>
      <c r="M62" s="3">
        <f t="shared" si="0"/>
        <v>3.6587417262470536E-4</v>
      </c>
      <c r="N62" s="4">
        <f t="shared" si="1"/>
        <v>2.6870015732109102E-3</v>
      </c>
    </row>
    <row r="63" spans="1:14" x14ac:dyDescent="0.2">
      <c r="A63" s="2" t="s">
        <v>438</v>
      </c>
      <c r="B63" t="s">
        <v>431</v>
      </c>
      <c r="C63" t="s">
        <v>439</v>
      </c>
      <c r="D63" t="s">
        <v>440</v>
      </c>
      <c r="E63" t="s">
        <v>441</v>
      </c>
      <c r="F63" t="s">
        <v>442</v>
      </c>
      <c r="G63">
        <v>12601694</v>
      </c>
      <c r="H63">
        <v>9697641</v>
      </c>
      <c r="I63" t="s">
        <v>443</v>
      </c>
      <c r="J63" t="s">
        <v>444</v>
      </c>
      <c r="K63">
        <v>722424</v>
      </c>
      <c r="M63" s="3">
        <f t="shared" si="0"/>
        <v>1.8754117492884455E-3</v>
      </c>
      <c r="N63" s="4">
        <f t="shared" si="1"/>
        <v>1.3645153316757714E-2</v>
      </c>
    </row>
    <row r="64" spans="1:14" x14ac:dyDescent="0.2">
      <c r="A64" s="2" t="s">
        <v>445</v>
      </c>
      <c r="B64" t="s">
        <v>438</v>
      </c>
      <c r="C64" t="s">
        <v>446</v>
      </c>
      <c r="D64" t="s">
        <v>447</v>
      </c>
      <c r="E64" t="s">
        <v>448</v>
      </c>
      <c r="F64" t="s">
        <v>449</v>
      </c>
      <c r="G64">
        <v>12582831</v>
      </c>
      <c r="H64">
        <v>9715133</v>
      </c>
      <c r="I64" t="s">
        <v>450</v>
      </c>
      <c r="J64" t="s">
        <v>451</v>
      </c>
      <c r="K64">
        <v>711410</v>
      </c>
      <c r="M64" s="3">
        <f t="shared" si="0"/>
        <v>2.9563031500260376E-3</v>
      </c>
      <c r="N64" s="4">
        <f t="shared" si="1"/>
        <v>2.0250940910554471E-2</v>
      </c>
    </row>
    <row r="65" spans="1:14" x14ac:dyDescent="0.2">
      <c r="A65" s="2" t="s">
        <v>452</v>
      </c>
      <c r="B65" t="s">
        <v>445</v>
      </c>
      <c r="C65" t="s">
        <v>453</v>
      </c>
      <c r="D65" t="s">
        <v>454</v>
      </c>
      <c r="E65" t="s">
        <v>455</v>
      </c>
      <c r="F65" t="s">
        <v>456</v>
      </c>
      <c r="G65">
        <v>12583668</v>
      </c>
      <c r="H65">
        <v>9714322</v>
      </c>
      <c r="I65" t="s">
        <v>457</v>
      </c>
      <c r="J65" t="s">
        <v>458</v>
      </c>
      <c r="K65">
        <v>762755</v>
      </c>
      <c r="M65" s="3">
        <f t="shared" si="0"/>
        <v>1.4437137730405903E-2</v>
      </c>
      <c r="N65" s="4">
        <f t="shared" si="1"/>
        <v>7.5513489383702573E-2</v>
      </c>
    </row>
    <row r="66" spans="1:14" x14ac:dyDescent="0.2">
      <c r="A66" s="2" t="s">
        <v>459</v>
      </c>
      <c r="B66" t="s">
        <v>452</v>
      </c>
      <c r="C66" t="s">
        <v>460</v>
      </c>
      <c r="D66" t="s">
        <v>461</v>
      </c>
      <c r="E66" t="s">
        <v>462</v>
      </c>
      <c r="F66" t="s">
        <v>463</v>
      </c>
      <c r="G66">
        <v>12584626</v>
      </c>
      <c r="H66">
        <v>9711899</v>
      </c>
      <c r="I66" t="s">
        <v>464</v>
      </c>
      <c r="J66" t="s">
        <v>465</v>
      </c>
      <c r="K66">
        <v>778447</v>
      </c>
      <c r="M66" s="3">
        <f t="shared" si="0"/>
        <v>7.1874355176170055E-3</v>
      </c>
      <c r="N66" s="4">
        <f t="shared" si="1"/>
        <v>5.2787318042776359E-2</v>
      </c>
    </row>
    <row r="67" spans="1:14" x14ac:dyDescent="0.2">
      <c r="A67" s="2" t="s">
        <v>466</v>
      </c>
      <c r="B67" t="s">
        <v>459</v>
      </c>
      <c r="C67" t="s">
        <v>467</v>
      </c>
      <c r="D67" t="s">
        <v>468</v>
      </c>
      <c r="E67" t="s">
        <v>469</v>
      </c>
      <c r="F67" t="s">
        <v>470</v>
      </c>
      <c r="G67">
        <v>12588026</v>
      </c>
      <c r="H67">
        <v>9713253</v>
      </c>
      <c r="I67" t="s">
        <v>471</v>
      </c>
      <c r="J67" t="s">
        <v>472</v>
      </c>
      <c r="K67">
        <v>697584</v>
      </c>
      <c r="M67" s="3">
        <f t="shared" ref="M67:M92" si="2">I67/J67</f>
        <v>1.5160299912240298E-3</v>
      </c>
      <c r="N67" s="4">
        <f t="shared" ref="N67:N92" si="3">I67/C67</f>
        <v>1.0535957729391379E-2</v>
      </c>
    </row>
    <row r="68" spans="1:14" x14ac:dyDescent="0.2">
      <c r="A68" s="2" t="s">
        <v>473</v>
      </c>
      <c r="B68" t="s">
        <v>466</v>
      </c>
      <c r="C68" t="s">
        <v>474</v>
      </c>
      <c r="D68" t="s">
        <v>475</v>
      </c>
      <c r="E68" t="s">
        <v>476</v>
      </c>
      <c r="F68" t="s">
        <v>477</v>
      </c>
      <c r="G68">
        <v>12585584</v>
      </c>
      <c r="H68">
        <v>9716169</v>
      </c>
      <c r="I68" t="s">
        <v>478</v>
      </c>
      <c r="J68" t="s">
        <v>479</v>
      </c>
      <c r="K68">
        <v>873594</v>
      </c>
      <c r="M68" s="3">
        <f t="shared" si="2"/>
        <v>1.7330048421350141E-3</v>
      </c>
      <c r="N68" s="4">
        <f t="shared" si="3"/>
        <v>1.3123376001448854E-2</v>
      </c>
    </row>
    <row r="69" spans="1:14" x14ac:dyDescent="0.2">
      <c r="A69" s="2" t="s">
        <v>480</v>
      </c>
      <c r="B69" t="s">
        <v>473</v>
      </c>
      <c r="C69" t="s">
        <v>481</v>
      </c>
      <c r="D69" t="s">
        <v>482</v>
      </c>
      <c r="E69" t="s">
        <v>483</v>
      </c>
      <c r="F69" t="s">
        <v>484</v>
      </c>
      <c r="G69">
        <v>12589075</v>
      </c>
      <c r="H69">
        <v>9719430</v>
      </c>
      <c r="I69" t="s">
        <v>485</v>
      </c>
      <c r="J69" t="s">
        <v>486</v>
      </c>
      <c r="K69">
        <v>938021</v>
      </c>
      <c r="M69" s="3">
        <f t="shared" si="2"/>
        <v>1.9844259324344614E-3</v>
      </c>
      <c r="N69" s="4">
        <f t="shared" si="3"/>
        <v>1.7770671442324762E-2</v>
      </c>
    </row>
    <row r="70" spans="1:14" x14ac:dyDescent="0.2">
      <c r="A70" s="2" t="s">
        <v>487</v>
      </c>
      <c r="B70" t="s">
        <v>480</v>
      </c>
      <c r="C70" t="s">
        <v>488</v>
      </c>
      <c r="D70" t="s">
        <v>489</v>
      </c>
      <c r="E70" t="s">
        <v>490</v>
      </c>
      <c r="F70" t="s">
        <v>491</v>
      </c>
      <c r="G70">
        <v>12590955</v>
      </c>
      <c r="H70">
        <v>9724259</v>
      </c>
      <c r="I70" t="s">
        <v>492</v>
      </c>
      <c r="J70" t="s">
        <v>493</v>
      </c>
      <c r="K70">
        <v>609673</v>
      </c>
      <c r="M70" s="3">
        <f t="shared" si="2"/>
        <v>1.0399942543053015E-3</v>
      </c>
      <c r="N70" s="4">
        <f t="shared" si="3"/>
        <v>6.3856787379918791E-3</v>
      </c>
    </row>
    <row r="71" spans="1:14" x14ac:dyDescent="0.2">
      <c r="A71" s="2" t="s">
        <v>494</v>
      </c>
      <c r="B71" t="s">
        <v>487</v>
      </c>
      <c r="C71" t="s">
        <v>495</v>
      </c>
      <c r="D71" t="s">
        <v>496</v>
      </c>
      <c r="E71" t="s">
        <v>497</v>
      </c>
      <c r="F71" t="s">
        <v>498</v>
      </c>
      <c r="G71">
        <v>12593635</v>
      </c>
      <c r="H71">
        <v>9726780</v>
      </c>
      <c r="I71" t="s">
        <v>499</v>
      </c>
      <c r="J71" t="s">
        <v>500</v>
      </c>
      <c r="K71">
        <v>597034</v>
      </c>
      <c r="M71" s="3">
        <f t="shared" si="2"/>
        <v>3.8259514007260632E-3</v>
      </c>
      <c r="N71" s="4">
        <f t="shared" si="3"/>
        <v>2.0815082320831759E-2</v>
      </c>
    </row>
    <row r="72" spans="1:14" x14ac:dyDescent="0.2">
      <c r="A72" s="2" t="s">
        <v>501</v>
      </c>
      <c r="B72" t="s">
        <v>494</v>
      </c>
      <c r="C72" t="s">
        <v>502</v>
      </c>
      <c r="D72" t="s">
        <v>503</v>
      </c>
      <c r="E72" t="s">
        <v>504</v>
      </c>
      <c r="F72" t="s">
        <v>505</v>
      </c>
      <c r="G72">
        <v>12595863</v>
      </c>
      <c r="H72">
        <v>9727783</v>
      </c>
      <c r="I72" t="s">
        <v>506</v>
      </c>
      <c r="J72" t="s">
        <v>507</v>
      </c>
      <c r="K72">
        <v>600813</v>
      </c>
      <c r="M72" s="3">
        <f t="shared" si="2"/>
        <v>1.651540275151401E-3</v>
      </c>
      <c r="N72" s="4">
        <f t="shared" si="3"/>
        <v>9.9576980819366979E-3</v>
      </c>
    </row>
    <row r="73" spans="1:14" x14ac:dyDescent="0.2">
      <c r="A73" s="2" t="s">
        <v>508</v>
      </c>
      <c r="B73" t="s">
        <v>501</v>
      </c>
      <c r="C73" t="s">
        <v>509</v>
      </c>
      <c r="D73" t="s">
        <v>510</v>
      </c>
      <c r="E73" t="s">
        <v>511</v>
      </c>
      <c r="F73" t="s">
        <v>512</v>
      </c>
      <c r="G73">
        <v>12597958</v>
      </c>
      <c r="H73">
        <v>9727378</v>
      </c>
      <c r="I73" t="s">
        <v>513</v>
      </c>
      <c r="J73" t="s">
        <v>514</v>
      </c>
      <c r="K73">
        <v>545442</v>
      </c>
      <c r="M73" s="3">
        <f t="shared" si="2"/>
        <v>2.9686614292608374E-3</v>
      </c>
      <c r="N73" s="4">
        <f t="shared" si="3"/>
        <v>1.5820861451520733E-2</v>
      </c>
    </row>
    <row r="74" spans="1:14" x14ac:dyDescent="0.2">
      <c r="A74" s="2" t="s">
        <v>515</v>
      </c>
      <c r="B74" t="s">
        <v>508</v>
      </c>
      <c r="C74" t="s">
        <v>516</v>
      </c>
      <c r="D74" t="s">
        <v>517</v>
      </c>
      <c r="E74" t="s">
        <v>518</v>
      </c>
      <c r="F74" t="s">
        <v>519</v>
      </c>
      <c r="G74">
        <v>12599776</v>
      </c>
      <c r="H74">
        <v>9727509</v>
      </c>
      <c r="I74" t="s">
        <v>520</v>
      </c>
      <c r="J74" t="s">
        <v>521</v>
      </c>
      <c r="K74">
        <v>668489</v>
      </c>
      <c r="M74" s="3">
        <f t="shared" si="2"/>
        <v>3.5537051112651263E-3</v>
      </c>
      <c r="N74" s="4">
        <f t="shared" si="3"/>
        <v>2.4882568664050846E-2</v>
      </c>
    </row>
    <row r="75" spans="1:14" x14ac:dyDescent="0.2">
      <c r="A75" s="2" t="s">
        <v>522</v>
      </c>
      <c r="B75" t="s">
        <v>515</v>
      </c>
      <c r="C75" t="s">
        <v>523</v>
      </c>
      <c r="D75" t="s">
        <v>524</v>
      </c>
      <c r="E75" t="s">
        <v>525</v>
      </c>
      <c r="F75" t="s">
        <v>526</v>
      </c>
      <c r="G75">
        <v>12601339</v>
      </c>
      <c r="H75">
        <v>9726961</v>
      </c>
      <c r="I75" t="s">
        <v>527</v>
      </c>
      <c r="J75" t="s">
        <v>528</v>
      </c>
      <c r="K75">
        <v>699945</v>
      </c>
      <c r="M75" s="3">
        <f t="shared" si="2"/>
        <v>1.0335708850365511E-3</v>
      </c>
      <c r="N75" s="4">
        <f t="shared" si="3"/>
        <v>6.6869833056564217E-3</v>
      </c>
    </row>
    <row r="76" spans="1:14" x14ac:dyDescent="0.2">
      <c r="A76" s="2" t="s">
        <v>529</v>
      </c>
      <c r="B76" t="s">
        <v>522</v>
      </c>
      <c r="C76" t="s">
        <v>530</v>
      </c>
      <c r="D76" t="s">
        <v>531</v>
      </c>
      <c r="E76" t="s">
        <v>532</v>
      </c>
      <c r="F76" t="s">
        <v>533</v>
      </c>
      <c r="G76">
        <v>12603787</v>
      </c>
      <c r="H76">
        <v>9726704</v>
      </c>
      <c r="I76" t="s">
        <v>534</v>
      </c>
      <c r="J76" t="s">
        <v>535</v>
      </c>
      <c r="K76">
        <v>797545</v>
      </c>
      <c r="M76" s="3">
        <f t="shared" si="2"/>
        <v>5.628620114409939E-4</v>
      </c>
      <c r="N76" s="4">
        <f t="shared" si="3"/>
        <v>4.3418134197622518E-3</v>
      </c>
    </row>
    <row r="77" spans="1:14" x14ac:dyDescent="0.2">
      <c r="A77" s="2" t="s">
        <v>536</v>
      </c>
      <c r="B77" t="s">
        <v>529</v>
      </c>
      <c r="C77" t="s">
        <v>537</v>
      </c>
      <c r="D77" t="s">
        <v>538</v>
      </c>
      <c r="E77" t="s">
        <v>539</v>
      </c>
      <c r="F77" t="s">
        <v>540</v>
      </c>
      <c r="G77">
        <v>12604835</v>
      </c>
      <c r="H77">
        <v>9727646</v>
      </c>
      <c r="I77" t="s">
        <v>541</v>
      </c>
      <c r="J77" t="s">
        <v>542</v>
      </c>
      <c r="K77">
        <v>770926</v>
      </c>
      <c r="M77" s="3">
        <f t="shared" si="2"/>
        <v>3.4459982471678756E-3</v>
      </c>
      <c r="N77" s="4">
        <f t="shared" si="3"/>
        <v>2.3131551040283398E-2</v>
      </c>
    </row>
    <row r="78" spans="1:14" x14ac:dyDescent="0.2">
      <c r="A78" s="2" t="s">
        <v>543</v>
      </c>
      <c r="B78" t="s">
        <v>536</v>
      </c>
      <c r="C78" t="s">
        <v>544</v>
      </c>
      <c r="D78" t="s">
        <v>545</v>
      </c>
      <c r="E78" t="s">
        <v>546</v>
      </c>
      <c r="F78" t="s">
        <v>547</v>
      </c>
      <c r="G78">
        <v>12601924</v>
      </c>
      <c r="H78">
        <v>9729409</v>
      </c>
      <c r="I78" t="s">
        <v>548</v>
      </c>
      <c r="J78" t="s">
        <v>549</v>
      </c>
      <c r="K78">
        <v>532343</v>
      </c>
      <c r="M78" s="3">
        <f t="shared" si="2"/>
        <v>1.1376606634871971E-4</v>
      </c>
      <c r="N78" s="4">
        <f t="shared" si="3"/>
        <v>6.2791904039661238E-4</v>
      </c>
    </row>
    <row r="79" spans="1:14" x14ac:dyDescent="0.2">
      <c r="A79" s="2" t="s">
        <v>550</v>
      </c>
      <c r="B79" t="s">
        <v>543</v>
      </c>
      <c r="C79" t="s">
        <v>551</v>
      </c>
      <c r="D79" t="s">
        <v>552</v>
      </c>
      <c r="E79" t="s">
        <v>553</v>
      </c>
      <c r="F79" t="s">
        <v>554</v>
      </c>
      <c r="G79">
        <v>12600654</v>
      </c>
      <c r="H79">
        <v>9733047</v>
      </c>
      <c r="I79" t="s">
        <v>555</v>
      </c>
      <c r="J79" t="s">
        <v>556</v>
      </c>
      <c r="K79">
        <v>770303</v>
      </c>
      <c r="M79" s="3">
        <f t="shared" si="2"/>
        <v>6.2115667482471049E-3</v>
      </c>
      <c r="N79" s="4">
        <f t="shared" si="3"/>
        <v>3.6058596593674871E-2</v>
      </c>
    </row>
    <row r="80" spans="1:14" x14ac:dyDescent="0.2">
      <c r="A80" s="2" t="s">
        <v>557</v>
      </c>
      <c r="B80" t="s">
        <v>550</v>
      </c>
      <c r="C80" t="s">
        <v>558</v>
      </c>
      <c r="D80" t="s">
        <v>559</v>
      </c>
      <c r="E80" t="s">
        <v>560</v>
      </c>
      <c r="F80" t="s">
        <v>561</v>
      </c>
      <c r="G80">
        <v>12599258</v>
      </c>
      <c r="H80">
        <v>9732731</v>
      </c>
      <c r="I80" t="s">
        <v>562</v>
      </c>
      <c r="J80" t="s">
        <v>563</v>
      </c>
      <c r="K80">
        <v>533322</v>
      </c>
      <c r="M80" s="3">
        <f t="shared" si="2"/>
        <v>2.6548103376572265E-3</v>
      </c>
      <c r="N80" s="4">
        <f t="shared" si="3"/>
        <v>1.3947300528450588E-2</v>
      </c>
    </row>
    <row r="81" spans="1:14" x14ac:dyDescent="0.2">
      <c r="A81" s="2" t="s">
        <v>564</v>
      </c>
      <c r="B81" t="s">
        <v>557</v>
      </c>
      <c r="C81" t="s">
        <v>565</v>
      </c>
      <c r="D81" t="s">
        <v>566</v>
      </c>
      <c r="E81" t="s">
        <v>567</v>
      </c>
      <c r="F81" t="s">
        <v>568</v>
      </c>
      <c r="G81">
        <v>12598836</v>
      </c>
      <c r="H81">
        <v>9733952</v>
      </c>
      <c r="I81" t="s">
        <v>569</v>
      </c>
      <c r="J81" t="s">
        <v>570</v>
      </c>
      <c r="K81">
        <v>629813</v>
      </c>
      <c r="M81" s="3">
        <f t="shared" si="2"/>
        <v>2.5794406728626242E-3</v>
      </c>
      <c r="N81" s="4">
        <f t="shared" si="3"/>
        <v>1.5877437367466548E-2</v>
      </c>
    </row>
    <row r="82" spans="1:14" x14ac:dyDescent="0.2">
      <c r="A82" s="2" t="s">
        <v>571</v>
      </c>
      <c r="B82" t="s">
        <v>564</v>
      </c>
      <c r="C82" t="s">
        <v>572</v>
      </c>
      <c r="D82" t="s">
        <v>573</v>
      </c>
      <c r="E82" t="s">
        <v>574</v>
      </c>
      <c r="F82" t="s">
        <v>575</v>
      </c>
      <c r="G82">
        <v>12598806</v>
      </c>
      <c r="H82">
        <v>9732175</v>
      </c>
      <c r="I82" t="s">
        <v>576</v>
      </c>
      <c r="J82" t="s">
        <v>577</v>
      </c>
      <c r="K82">
        <v>767448</v>
      </c>
      <c r="M82" s="3">
        <f t="shared" si="2"/>
        <v>1.4004211184404842E-3</v>
      </c>
      <c r="N82" s="4">
        <f t="shared" si="3"/>
        <v>1.0032144016580032E-2</v>
      </c>
    </row>
    <row r="83" spans="1:14" x14ac:dyDescent="0.2">
      <c r="A83" s="2" t="s">
        <v>578</v>
      </c>
      <c r="B83" t="s">
        <v>571</v>
      </c>
      <c r="C83" t="s">
        <v>579</v>
      </c>
      <c r="D83" t="s">
        <v>580</v>
      </c>
      <c r="E83" t="s">
        <v>581</v>
      </c>
      <c r="F83" t="s">
        <v>582</v>
      </c>
      <c r="G83">
        <v>12599408</v>
      </c>
      <c r="H83">
        <v>9731764</v>
      </c>
      <c r="I83" t="s">
        <v>583</v>
      </c>
      <c r="J83" t="s">
        <v>584</v>
      </c>
      <c r="K83">
        <v>599267</v>
      </c>
      <c r="M83" s="3">
        <f t="shared" si="2"/>
        <v>6.9122075367916399E-4</v>
      </c>
      <c r="N83" s="4">
        <f t="shared" si="3"/>
        <v>4.2127400063511093E-3</v>
      </c>
    </row>
    <row r="84" spans="1:14" x14ac:dyDescent="0.2">
      <c r="A84" s="2" t="s">
        <v>585</v>
      </c>
      <c r="B84" t="s">
        <v>578</v>
      </c>
      <c r="C84" t="s">
        <v>586</v>
      </c>
      <c r="D84" t="s">
        <v>587</v>
      </c>
      <c r="E84" t="s">
        <v>588</v>
      </c>
      <c r="F84" t="s">
        <v>589</v>
      </c>
      <c r="G84">
        <v>12600129</v>
      </c>
      <c r="H84">
        <v>9730981</v>
      </c>
      <c r="I84" t="s">
        <v>590</v>
      </c>
      <c r="J84" t="s">
        <v>591</v>
      </c>
      <c r="K84">
        <v>522295</v>
      </c>
      <c r="M84" s="3">
        <f t="shared" si="2"/>
        <v>4.8995731020869202E-4</v>
      </c>
      <c r="N84" s="4">
        <f t="shared" si="3"/>
        <v>2.787725045666095E-3</v>
      </c>
    </row>
    <row r="85" spans="1:14" x14ac:dyDescent="0.2">
      <c r="A85" s="2" t="s">
        <v>592</v>
      </c>
      <c r="B85" t="s">
        <v>585</v>
      </c>
      <c r="C85" t="s">
        <v>593</v>
      </c>
      <c r="D85" t="s">
        <v>594</v>
      </c>
      <c r="E85" t="s">
        <v>595</v>
      </c>
      <c r="F85" t="s">
        <v>596</v>
      </c>
      <c r="G85">
        <v>12603104</v>
      </c>
      <c r="H85">
        <v>9732415</v>
      </c>
      <c r="I85" t="s">
        <v>597</v>
      </c>
      <c r="J85" t="s">
        <v>598</v>
      </c>
      <c r="K85">
        <v>706011</v>
      </c>
      <c r="M85" s="3">
        <f t="shared" si="2"/>
        <v>1.8489091062334076E-3</v>
      </c>
      <c r="N85" s="4">
        <f t="shared" si="3"/>
        <v>1.2088125605340489E-2</v>
      </c>
    </row>
    <row r="86" spans="1:14" x14ac:dyDescent="0.2">
      <c r="A86" s="2" t="s">
        <v>599</v>
      </c>
      <c r="B86" t="s">
        <v>592</v>
      </c>
      <c r="C86" t="s">
        <v>600</v>
      </c>
      <c r="D86" t="s">
        <v>601</v>
      </c>
      <c r="E86" t="s">
        <v>602</v>
      </c>
      <c r="F86" t="s">
        <v>603</v>
      </c>
      <c r="G86">
        <v>12604243</v>
      </c>
      <c r="H86">
        <v>9731220</v>
      </c>
      <c r="I86" t="s">
        <v>604</v>
      </c>
      <c r="J86" t="s">
        <v>605</v>
      </c>
      <c r="K86">
        <v>632772</v>
      </c>
      <c r="M86" s="3">
        <f t="shared" si="2"/>
        <v>9.1834700921243075E-4</v>
      </c>
      <c r="N86" s="4">
        <f t="shared" si="3"/>
        <v>5.881393969328361E-3</v>
      </c>
    </row>
    <row r="87" spans="1:14" x14ac:dyDescent="0.2">
      <c r="A87" s="2" t="s">
        <v>606</v>
      </c>
      <c r="B87" t="s">
        <v>599</v>
      </c>
      <c r="C87" t="s">
        <v>607</v>
      </c>
      <c r="D87" t="s">
        <v>608</v>
      </c>
      <c r="E87" t="s">
        <v>609</v>
      </c>
      <c r="F87" t="s">
        <v>610</v>
      </c>
      <c r="G87">
        <v>12604798</v>
      </c>
      <c r="H87">
        <v>9731757</v>
      </c>
      <c r="I87" t="s">
        <v>611</v>
      </c>
      <c r="J87" t="s">
        <v>612</v>
      </c>
      <c r="K87">
        <v>731524</v>
      </c>
      <c r="M87" s="3">
        <f t="shared" si="2"/>
        <v>2.5336217702955567E-3</v>
      </c>
      <c r="N87" s="4">
        <f t="shared" si="3"/>
        <v>1.7034125374575729E-2</v>
      </c>
    </row>
    <row r="88" spans="1:14" x14ac:dyDescent="0.2">
      <c r="A88" s="2" t="s">
        <v>613</v>
      </c>
      <c r="B88" t="s">
        <v>606</v>
      </c>
      <c r="C88" t="s">
        <v>614</v>
      </c>
      <c r="D88" t="s">
        <v>615</v>
      </c>
      <c r="E88" t="s">
        <v>616</v>
      </c>
      <c r="F88" t="s">
        <v>617</v>
      </c>
      <c r="G88">
        <v>12606467</v>
      </c>
      <c r="H88">
        <v>9732074</v>
      </c>
      <c r="I88" t="s">
        <v>618</v>
      </c>
      <c r="J88" t="s">
        <v>619</v>
      </c>
      <c r="K88">
        <v>622249</v>
      </c>
      <c r="M88" s="3">
        <f t="shared" si="2"/>
        <v>8.3713421705000645E-4</v>
      </c>
      <c r="N88" s="4">
        <f t="shared" si="3"/>
        <v>5.5604289217047976E-3</v>
      </c>
    </row>
    <row r="89" spans="1:14" x14ac:dyDescent="0.2">
      <c r="A89" s="2" t="s">
        <v>620</v>
      </c>
      <c r="B89" t="s">
        <v>613</v>
      </c>
      <c r="C89" t="s">
        <v>621</v>
      </c>
      <c r="D89" t="s">
        <v>622</v>
      </c>
      <c r="E89" t="s">
        <v>623</v>
      </c>
      <c r="F89" t="s">
        <v>624</v>
      </c>
      <c r="G89">
        <v>12604492</v>
      </c>
      <c r="H89">
        <v>9731727</v>
      </c>
      <c r="I89" t="s">
        <v>625</v>
      </c>
      <c r="J89" t="s">
        <v>626</v>
      </c>
      <c r="K89">
        <v>861404</v>
      </c>
      <c r="M89" s="3">
        <f t="shared" si="2"/>
        <v>1.1806085456841165E-3</v>
      </c>
      <c r="N89" s="4">
        <f t="shared" si="3"/>
        <v>9.0881822510362788E-3</v>
      </c>
    </row>
    <row r="90" spans="1:14" x14ac:dyDescent="0.2">
      <c r="A90" s="2" t="s">
        <v>627</v>
      </c>
      <c r="B90" t="s">
        <v>620</v>
      </c>
      <c r="C90" t="s">
        <v>628</v>
      </c>
      <c r="D90" t="s">
        <v>629</v>
      </c>
      <c r="E90" t="s">
        <v>630</v>
      </c>
      <c r="F90" t="s">
        <v>631</v>
      </c>
      <c r="G90">
        <v>12606792</v>
      </c>
      <c r="H90">
        <v>9730299</v>
      </c>
      <c r="I90" t="s">
        <v>632</v>
      </c>
      <c r="J90" t="s">
        <v>633</v>
      </c>
      <c r="K90">
        <v>889601</v>
      </c>
      <c r="M90" s="3">
        <f t="shared" si="2"/>
        <v>2.1934912091141688E-3</v>
      </c>
      <c r="N90" s="4">
        <f t="shared" si="3"/>
        <v>1.8025173022187133E-2</v>
      </c>
    </row>
    <row r="91" spans="1:14" x14ac:dyDescent="0.2">
      <c r="A91" s="2" t="s">
        <v>634</v>
      </c>
      <c r="B91" t="s">
        <v>627</v>
      </c>
      <c r="C91" t="s">
        <v>635</v>
      </c>
      <c r="D91" t="s">
        <v>636</v>
      </c>
      <c r="E91" t="s">
        <v>637</v>
      </c>
      <c r="F91" t="s">
        <v>638</v>
      </c>
      <c r="G91">
        <v>12607548</v>
      </c>
      <c r="H91">
        <v>9732395</v>
      </c>
      <c r="I91" t="s">
        <v>639</v>
      </c>
      <c r="J91" t="s">
        <v>640</v>
      </c>
      <c r="K91">
        <v>682890</v>
      </c>
      <c r="M91" s="3">
        <f t="shared" si="2"/>
        <v>1.1380718904026174E-3</v>
      </c>
      <c r="N91" s="4">
        <f t="shared" si="3"/>
        <v>8.1292181618689997E-3</v>
      </c>
    </row>
    <row r="92" spans="1:14" x14ac:dyDescent="0.2">
      <c r="A92" s="2" t="s">
        <v>641</v>
      </c>
      <c r="B92" t="s">
        <v>634</v>
      </c>
      <c r="C92" t="s">
        <v>642</v>
      </c>
      <c r="D92" t="s">
        <v>643</v>
      </c>
      <c r="E92" t="s">
        <v>644</v>
      </c>
      <c r="F92" t="s">
        <v>645</v>
      </c>
      <c r="G92">
        <v>12603197</v>
      </c>
      <c r="H92">
        <v>9738957</v>
      </c>
      <c r="I92" t="s">
        <v>646</v>
      </c>
      <c r="J92" t="s">
        <v>647</v>
      </c>
      <c r="K92">
        <v>756885</v>
      </c>
      <c r="M92" s="3">
        <f t="shared" si="2"/>
        <v>8.3652785719688454E-4</v>
      </c>
      <c r="N92" s="4">
        <f t="shared" si="3"/>
        <v>7.0580710764740493E-3</v>
      </c>
    </row>
    <row r="93" spans="1:14" x14ac:dyDescent="0.2">
      <c r="M93" s="5">
        <f>AVERAGE(M2:M92)</f>
        <v>2.3341826806917727E-3</v>
      </c>
      <c r="N93" s="6">
        <f>AVERAGE(N2:N92)</f>
        <v>1.4137841081053112E-2</v>
      </c>
    </row>
  </sheetData>
  <autoFilter ref="A1:K1" xr:uid="{00000000-0001-0000-0000-000000000000}">
    <sortState xmlns:xlrd2="http://schemas.microsoft.com/office/spreadsheetml/2017/richdata2" ref="A2:K92">
      <sortCondition descending="1" ref="A1:A9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HALEVY Assaf</cp:lastModifiedBy>
  <dcterms:created xsi:type="dcterms:W3CDTF">2025-06-23T09:40:13Z</dcterms:created>
  <dcterms:modified xsi:type="dcterms:W3CDTF">2025-06-24T07:28:17Z</dcterms:modified>
</cp:coreProperties>
</file>